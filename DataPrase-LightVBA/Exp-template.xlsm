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C:\Users\Administrator\Desktop\DataPrase\LQ-DataPrase\DataPrase-LightVBA\"/>
    </mc:Choice>
  </mc:AlternateContent>
  <xr:revisionPtr revIDLastSave="0" documentId="13_ncr:1_{9EEB4D27-387E-462D-9183-6404FBFD0EBE}" xr6:coauthVersionLast="47" xr6:coauthVersionMax="47" xr10:uidLastSave="{00000000-0000-0000-0000-000000000000}"/>
  <bookViews>
    <workbookView xWindow="-108" yWindow="-108" windowWidth="30936" windowHeight="16776" xr2:uid="{0A467CE7-71DE-4BDD-A033-FF8460936BF8}"/>
  </bookViews>
  <sheets>
    <sheet name="Exp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10" i="1"/>
  <c r="D14" i="1"/>
  <c r="D19" i="1"/>
  <c r="D21" i="1"/>
  <c r="D36" i="1"/>
  <c r="E36" i="1"/>
  <c r="F36" i="1"/>
  <c r="D16" i="1" s="1"/>
  <c r="G36" i="1"/>
  <c r="D37" i="1"/>
  <c r="E37" i="1"/>
  <c r="F37" i="1"/>
  <c r="F38" i="1"/>
  <c r="D39" i="1"/>
  <c r="F39" i="1" s="1"/>
  <c r="E39" i="1"/>
  <c r="D40" i="1"/>
  <c r="E40" i="1"/>
  <c r="F40" i="1"/>
  <c r="C53" i="1"/>
  <c r="C54" i="1"/>
  <c r="C55" i="1"/>
  <c r="C56" i="1"/>
  <c r="H11" i="1" l="1"/>
  <c r="E11" i="1"/>
  <c r="J11" i="1"/>
  <c r="M11" i="1"/>
  <c r="I11" i="1"/>
  <c r="L11" i="1"/>
  <c r="K11" i="1"/>
  <c r="E15" i="1"/>
  <c r="J20" i="1"/>
  <c r="L20" i="1"/>
  <c r="I20" i="1"/>
  <c r="K20" i="1"/>
  <c r="M20" i="1"/>
  <c r="F20" i="1"/>
  <c r="H20" i="1"/>
  <c r="G20" i="1"/>
  <c r="E17" i="1"/>
  <c r="F17" i="1"/>
  <c r="K17" i="1"/>
  <c r="L17" i="1"/>
  <c r="M17" i="1"/>
  <c r="G17" i="1"/>
  <c r="H17" i="1"/>
  <c r="I17" i="1"/>
  <c r="J17" i="1"/>
  <c r="D27" i="1"/>
  <c r="D3" i="1"/>
  <c r="D25" i="1"/>
  <c r="D6" i="1"/>
  <c r="D9" i="1"/>
  <c r="D15" i="1"/>
  <c r="D12" i="1"/>
  <c r="D17" i="1"/>
  <c r="D20" i="1"/>
  <c r="D23" i="1"/>
  <c r="D22" i="1"/>
  <c r="M6" i="1"/>
  <c r="L6" i="1"/>
  <c r="D4" i="1"/>
  <c r="K15" i="1"/>
  <c r="J15" i="1"/>
  <c r="D13" i="1"/>
  <c r="F15" i="1"/>
  <c r="E6" i="1"/>
  <c r="F6" i="1"/>
  <c r="G6" i="1"/>
  <c r="H6" i="1"/>
  <c r="D7" i="1"/>
  <c r="D18" i="1"/>
  <c r="M15" i="1"/>
  <c r="D11" i="1"/>
  <c r="G11" i="1" s="1"/>
  <c r="D26" i="1"/>
  <c r="H15" i="1"/>
  <c r="D8" i="1"/>
  <c r="I22" i="1"/>
  <c r="L22" i="1"/>
  <c r="K6" i="1"/>
  <c r="D24" i="1"/>
  <c r="L23" i="1" l="1"/>
  <c r="E23" i="1"/>
  <c r="M23" i="1"/>
  <c r="F23" i="1"/>
  <c r="J23" i="1"/>
  <c r="K23" i="1"/>
  <c r="H23" i="1"/>
  <c r="G23" i="1"/>
  <c r="I23" i="1"/>
  <c r="K22" i="1"/>
  <c r="K24" i="1"/>
  <c r="L24" i="1"/>
  <c r="M24" i="1"/>
  <c r="F24" i="1"/>
  <c r="G24" i="1"/>
  <c r="J24" i="1"/>
  <c r="E24" i="1"/>
  <c r="H24" i="1"/>
  <c r="I24" i="1"/>
  <c r="F22" i="1"/>
  <c r="G19" i="1"/>
  <c r="H19" i="1"/>
  <c r="I19" i="1"/>
  <c r="J19" i="1"/>
  <c r="K19" i="1"/>
  <c r="L19" i="1"/>
  <c r="E19" i="1"/>
  <c r="F19" i="1"/>
  <c r="M19" i="1"/>
  <c r="E25" i="1"/>
  <c r="F25" i="1"/>
  <c r="G25" i="1"/>
  <c r="H25" i="1"/>
  <c r="I25" i="1"/>
  <c r="J25" i="1"/>
  <c r="K25" i="1"/>
  <c r="L25" i="1"/>
  <c r="M25" i="1"/>
  <c r="H5" i="1"/>
  <c r="I5" i="1"/>
  <c r="J5" i="1"/>
  <c r="K5" i="1"/>
  <c r="E5" i="1"/>
  <c r="L5" i="1"/>
  <c r="F5" i="1"/>
  <c r="G5" i="1"/>
  <c r="M5" i="1"/>
  <c r="K7" i="1"/>
  <c r="L7" i="1"/>
  <c r="M7" i="1"/>
  <c r="G7" i="1"/>
  <c r="H7" i="1"/>
  <c r="E7" i="1"/>
  <c r="F7" i="1"/>
  <c r="I7" i="1"/>
  <c r="J7" i="1"/>
  <c r="E14" i="1"/>
  <c r="F14" i="1"/>
  <c r="G14" i="1"/>
  <c r="H14" i="1"/>
  <c r="J14" i="1"/>
  <c r="K14" i="1"/>
  <c r="I14" i="1"/>
  <c r="L14" i="1"/>
  <c r="M14" i="1"/>
  <c r="M22" i="1"/>
  <c r="J22" i="1"/>
  <c r="E9" i="1"/>
  <c r="F9" i="1"/>
  <c r="G9" i="1"/>
  <c r="H9" i="1"/>
  <c r="M9" i="1"/>
  <c r="I9" i="1"/>
  <c r="J9" i="1"/>
  <c r="K9" i="1"/>
  <c r="L9" i="1"/>
  <c r="H16" i="1"/>
  <c r="I16" i="1"/>
  <c r="J16" i="1"/>
  <c r="K16" i="1"/>
  <c r="L16" i="1"/>
  <c r="M16" i="1"/>
  <c r="E16" i="1"/>
  <c r="G16" i="1"/>
  <c r="F16" i="1"/>
  <c r="G15" i="1"/>
  <c r="J10" i="1"/>
  <c r="K10" i="1"/>
  <c r="L10" i="1"/>
  <c r="M10" i="1"/>
  <c r="H10" i="1"/>
  <c r="I10" i="1"/>
  <c r="E10" i="1"/>
  <c r="G10" i="1"/>
  <c r="F10" i="1"/>
  <c r="I13" i="1"/>
  <c r="J13" i="1"/>
  <c r="K13" i="1"/>
  <c r="L13" i="1"/>
  <c r="M13" i="1"/>
  <c r="E13" i="1"/>
  <c r="F13" i="1"/>
  <c r="G13" i="1"/>
  <c r="H13" i="1"/>
  <c r="M26" i="1"/>
  <c r="F26" i="1"/>
  <c r="I26" i="1"/>
  <c r="G26" i="1"/>
  <c r="H26" i="1"/>
  <c r="J26" i="1"/>
  <c r="L26" i="1"/>
  <c r="E26" i="1"/>
  <c r="K26" i="1"/>
  <c r="I6" i="1"/>
  <c r="G8" i="1"/>
  <c r="H8" i="1"/>
  <c r="I8" i="1"/>
  <c r="J8" i="1"/>
  <c r="M8" i="1"/>
  <c r="E8" i="1"/>
  <c r="L8" i="1"/>
  <c r="F8" i="1"/>
  <c r="K8" i="1"/>
  <c r="H22" i="1"/>
  <c r="L21" i="1"/>
  <c r="M21" i="1"/>
  <c r="J21" i="1"/>
  <c r="K21" i="1"/>
  <c r="F21" i="1"/>
  <c r="G21" i="1"/>
  <c r="H21" i="1"/>
  <c r="I21" i="1"/>
  <c r="E21" i="1"/>
  <c r="E20" i="1"/>
  <c r="G22" i="1"/>
  <c r="M18" i="1"/>
  <c r="E18" i="1"/>
  <c r="F18" i="1"/>
  <c r="H18" i="1"/>
  <c r="L18" i="1"/>
  <c r="I18" i="1"/>
  <c r="G18" i="1"/>
  <c r="J18" i="1"/>
  <c r="K18" i="1"/>
  <c r="I15" i="1"/>
  <c r="M4" i="1"/>
  <c r="E3" i="1"/>
  <c r="G3" i="1"/>
  <c r="H3" i="1"/>
  <c r="F3" i="1"/>
  <c r="I3" i="1"/>
  <c r="J3" i="1"/>
  <c r="K3" i="1"/>
  <c r="G4" i="1"/>
  <c r="I4" i="1"/>
  <c r="J4" i="1"/>
  <c r="L4" i="1"/>
  <c r="L3" i="1"/>
  <c r="E4" i="1"/>
  <c r="F4" i="1"/>
  <c r="H4" i="1"/>
  <c r="M3" i="1"/>
  <c r="K4" i="1"/>
  <c r="J6" i="1"/>
  <c r="I27" i="1"/>
  <c r="J27" i="1"/>
  <c r="K27" i="1"/>
  <c r="E27" i="1"/>
  <c r="F27" i="1"/>
  <c r="H27" i="1"/>
  <c r="G27" i="1"/>
  <c r="L27" i="1"/>
  <c r="M27" i="1"/>
  <c r="E12" i="1"/>
  <c r="F12" i="1"/>
  <c r="H12" i="1"/>
  <c r="G12" i="1"/>
  <c r="I12" i="1"/>
  <c r="K12" i="1"/>
  <c r="L12" i="1"/>
  <c r="J12" i="1"/>
  <c r="M12" i="1"/>
  <c r="L15" i="1"/>
  <c r="E22" i="1"/>
  <c r="F11" i="1"/>
  <c r="E28" i="1" l="1"/>
  <c r="S10" i="1" s="1"/>
  <c r="N3" i="1"/>
  <c r="N12" i="1"/>
  <c r="T22" i="1"/>
  <c r="V27" i="1"/>
  <c r="R15" i="1"/>
  <c r="U13" i="1"/>
  <c r="S16" i="1"/>
  <c r="P14" i="1"/>
  <c r="R25" i="1"/>
  <c r="R23" i="1"/>
  <c r="U27" i="1"/>
  <c r="T8" i="1"/>
  <c r="T13" i="1"/>
  <c r="R16" i="1"/>
  <c r="O14" i="1"/>
  <c r="Q25" i="1"/>
  <c r="P23" i="1"/>
  <c r="O5" i="1"/>
  <c r="I28" i="1"/>
  <c r="F28" i="1"/>
  <c r="S24" i="1"/>
  <c r="S25" i="1"/>
  <c r="V8" i="1"/>
  <c r="U19" i="1"/>
  <c r="V10" i="1"/>
  <c r="U15" i="1"/>
  <c r="R26" i="1"/>
  <c r="T5" i="1"/>
  <c r="S3" i="1"/>
  <c r="J28" i="1"/>
  <c r="U21" i="1"/>
  <c r="Q22" i="1"/>
  <c r="H28" i="1"/>
  <c r="Q3" i="1"/>
  <c r="Q12" i="1"/>
  <c r="U25" i="1"/>
  <c r="U16" i="1"/>
  <c r="Q14" i="1"/>
  <c r="P7" i="1"/>
  <c r="N9" i="1"/>
  <c r="Q4" i="1"/>
  <c r="S19" i="1"/>
  <c r="S4" i="1"/>
  <c r="U10" i="1"/>
  <c r="N5" i="1"/>
  <c r="T3" i="1"/>
  <c r="K28" i="1"/>
  <c r="U12" i="1"/>
  <c r="V14" i="1"/>
  <c r="P16" i="1"/>
  <c r="V24" i="1"/>
  <c r="V16" i="1"/>
  <c r="S14" i="1"/>
  <c r="V13" i="1"/>
  <c r="O8" i="1"/>
  <c r="T18" i="1"/>
  <c r="V7" i="1"/>
  <c r="P22" i="1"/>
  <c r="U7" i="1"/>
  <c r="N20" i="1"/>
  <c r="T26" i="1"/>
  <c r="P10" i="1"/>
  <c r="S22" i="1"/>
  <c r="T7" i="1"/>
  <c r="R19" i="1"/>
  <c r="O22" i="1"/>
  <c r="R24" i="1"/>
  <c r="Q24" i="1"/>
  <c r="N24" i="1"/>
  <c r="T12" i="1"/>
  <c r="R12" i="1"/>
  <c r="Q5" i="1"/>
  <c r="V25" i="1"/>
  <c r="T14" i="1"/>
  <c r="N23" i="1"/>
  <c r="O19" i="1"/>
  <c r="P8" i="1"/>
  <c r="O9" i="1"/>
  <c r="R6" i="1"/>
  <c r="T19" i="1"/>
  <c r="O10" i="1"/>
  <c r="O4" i="1"/>
  <c r="N4" i="1"/>
  <c r="N21" i="1"/>
  <c r="N26" i="1"/>
  <c r="N10" i="1"/>
  <c r="V22" i="1"/>
  <c r="Q19" i="1"/>
  <c r="N22" i="1"/>
  <c r="R4" i="1"/>
  <c r="P4" i="1"/>
  <c r="O26" i="1"/>
  <c r="P15" i="1"/>
  <c r="G28" i="1"/>
  <c r="Q27" i="1"/>
  <c r="U9" i="1"/>
  <c r="S23" i="1"/>
  <c r="S7" i="1"/>
  <c r="R9" i="1"/>
  <c r="V9" i="1"/>
  <c r="Q18" i="1"/>
  <c r="N7" i="1"/>
  <c r="P9" i="1"/>
  <c r="N18" i="1"/>
  <c r="U3" i="1"/>
  <c r="L28" i="1"/>
  <c r="U26" i="1"/>
  <c r="P19" i="1"/>
  <c r="Q26" i="1"/>
  <c r="P26" i="1"/>
  <c r="T21" i="1"/>
  <c r="S21" i="1"/>
  <c r="V26" i="1"/>
  <c r="T27" i="1"/>
  <c r="V23" i="1"/>
  <c r="O7" i="1"/>
  <c r="Q8" i="1"/>
  <c r="S6" i="1"/>
  <c r="N19" i="1"/>
  <c r="V3" i="1"/>
  <c r="M28" i="1"/>
  <c r="R21" i="1"/>
  <c r="R10" i="1"/>
  <c r="V5" i="1"/>
  <c r="O11" i="1"/>
  <c r="U4" i="1"/>
  <c r="Q21" i="1"/>
  <c r="S26" i="1"/>
  <c r="Q10" i="1"/>
  <c r="P5" i="1"/>
  <c r="V18" i="1" l="1"/>
  <c r="U24" i="1"/>
  <c r="E44" i="1"/>
  <c r="F44" i="1"/>
  <c r="O28" i="1"/>
  <c r="G44" i="1"/>
  <c r="D44" i="1"/>
  <c r="D46" i="1"/>
  <c r="E46" i="1"/>
  <c r="F46" i="1"/>
  <c r="G46" i="1"/>
  <c r="Q28" i="1"/>
  <c r="V28" i="1"/>
  <c r="E51" i="1"/>
  <c r="G51" i="1"/>
  <c r="D51" i="1"/>
  <c r="F51" i="1"/>
  <c r="S13" i="1"/>
  <c r="N27" i="1"/>
  <c r="U23" i="1"/>
  <c r="R18" i="1"/>
  <c r="R14" i="1"/>
  <c r="P25" i="1"/>
  <c r="Q9" i="1"/>
  <c r="V4" i="1"/>
  <c r="S18" i="1"/>
  <c r="P3" i="1"/>
  <c r="S5" i="1"/>
  <c r="D50" i="1"/>
  <c r="U28" i="1"/>
  <c r="E50" i="1"/>
  <c r="F50" i="1"/>
  <c r="G50" i="1"/>
  <c r="G48" i="1"/>
  <c r="S28" i="1"/>
  <c r="E48" i="1"/>
  <c r="D48" i="1"/>
  <c r="F48" i="1"/>
  <c r="D49" i="1"/>
  <c r="F49" i="1"/>
  <c r="E49" i="1"/>
  <c r="G49" i="1"/>
  <c r="T28" i="1"/>
  <c r="Q7" i="1"/>
  <c r="U18" i="1"/>
  <c r="P12" i="1"/>
  <c r="N8" i="1"/>
  <c r="O18" i="1"/>
  <c r="V19" i="1"/>
  <c r="T24" i="1"/>
  <c r="U14" i="1"/>
  <c r="O12" i="1"/>
  <c r="R27" i="1"/>
  <c r="S8" i="1"/>
  <c r="P24" i="1"/>
  <c r="N13" i="1"/>
  <c r="O25" i="1"/>
  <c r="R8" i="1"/>
  <c r="S9" i="1"/>
  <c r="R3" i="1"/>
  <c r="O13" i="1"/>
  <c r="F45" i="1"/>
  <c r="G45" i="1"/>
  <c r="D45" i="1"/>
  <c r="E45" i="1"/>
  <c r="P28" i="1"/>
  <c r="U8" i="1"/>
  <c r="R7" i="1"/>
  <c r="N25" i="1"/>
  <c r="V21" i="1"/>
  <c r="A25" i="1"/>
  <c r="A5" i="1"/>
  <c r="D43" i="1"/>
  <c r="E43" i="1"/>
  <c r="F43" i="1"/>
  <c r="N28" i="1"/>
  <c r="G43" i="1"/>
  <c r="P11" i="1"/>
  <c r="V15" i="1"/>
  <c r="U22" i="1"/>
  <c r="R20" i="1"/>
  <c r="R17" i="1"/>
  <c r="R22" i="1"/>
  <c r="T15" i="1"/>
  <c r="Q20" i="1"/>
  <c r="V17" i="1"/>
  <c r="P17" i="1"/>
  <c r="O6" i="1"/>
  <c r="O17" i="1"/>
  <c r="T20" i="1"/>
  <c r="N6" i="1"/>
  <c r="O20" i="1"/>
  <c r="V20" i="1"/>
  <c r="U11" i="1"/>
  <c r="T11" i="1"/>
  <c r="U17" i="1"/>
  <c r="Q11" i="1"/>
  <c r="O15" i="1"/>
  <c r="V6" i="1"/>
  <c r="P20" i="1"/>
  <c r="U20" i="1"/>
  <c r="Q6" i="1"/>
  <c r="N15" i="1"/>
  <c r="P6" i="1"/>
  <c r="T6" i="1"/>
  <c r="Q15" i="1"/>
  <c r="S17" i="1"/>
  <c r="N11" i="1"/>
  <c r="R11" i="1"/>
  <c r="N17" i="1"/>
  <c r="S15" i="1"/>
  <c r="V11" i="1"/>
  <c r="S20" i="1"/>
  <c r="Q17" i="1"/>
  <c r="S11" i="1"/>
  <c r="T17" i="1"/>
  <c r="U6" i="1"/>
  <c r="N14" i="1"/>
  <c r="T4" i="1"/>
  <c r="P27" i="1"/>
  <c r="O3" i="1"/>
  <c r="P18" i="1"/>
  <c r="S27" i="1"/>
  <c r="R28" i="1"/>
  <c r="G47" i="1"/>
  <c r="F47" i="1"/>
  <c r="D47" i="1"/>
  <c r="E47" i="1"/>
  <c r="N16" i="1"/>
  <c r="P13" i="1"/>
  <c r="Q16" i="1"/>
  <c r="O23" i="1"/>
  <c r="O27" i="1"/>
  <c r="S12" i="1"/>
  <c r="T10" i="1"/>
  <c r="O24" i="1"/>
  <c r="Q13" i="1"/>
  <c r="T16" i="1"/>
  <c r="T9" i="1"/>
  <c r="R13" i="1"/>
  <c r="V12" i="1"/>
  <c r="U5" i="1"/>
  <c r="O16" i="1"/>
  <c r="R5" i="1"/>
  <c r="T25" i="1"/>
  <c r="T23" i="1"/>
  <c r="Q23" i="1"/>
  <c r="O21" i="1"/>
  <c r="P21" i="1"/>
</calcChain>
</file>

<file path=xl/sharedStrings.xml><?xml version="1.0" encoding="utf-8"?>
<sst xmlns="http://schemas.openxmlformats.org/spreadsheetml/2006/main" count="61" uniqueCount="39">
  <si>
    <t>CPK:</t>
    <phoneticPr fontId="2" type="noConversion"/>
  </si>
  <si>
    <t>STD:</t>
    <phoneticPr fontId="2" type="noConversion"/>
  </si>
  <si>
    <t>Mean:</t>
    <phoneticPr fontId="2" type="noConversion"/>
  </si>
  <si>
    <t>Range:</t>
    <phoneticPr fontId="2" type="noConversion"/>
  </si>
  <si>
    <t>Date</t>
    <phoneticPr fontId="2" type="noConversion"/>
  </si>
  <si>
    <t>ExceedMax</t>
    <phoneticPr fontId="2" type="noConversion"/>
  </si>
  <si>
    <t>ExceedMin</t>
    <phoneticPr fontId="2" type="noConversion"/>
  </si>
  <si>
    <t>FailCount</t>
    <phoneticPr fontId="2" type="noConversion"/>
  </si>
  <si>
    <t>Yeild</t>
    <phoneticPr fontId="2" type="noConversion"/>
  </si>
  <si>
    <t>Unit</t>
    <phoneticPr fontId="2" type="noConversion"/>
  </si>
  <si>
    <t>DataGap</t>
    <phoneticPr fontId="2" type="noConversion"/>
  </si>
  <si>
    <t>High Limit</t>
    <phoneticPr fontId="2" type="noConversion"/>
  </si>
  <si>
    <t>Low Limit</t>
    <phoneticPr fontId="2" type="noConversion"/>
  </si>
  <si>
    <t>Total Number</t>
  </si>
  <si>
    <t>Test Number</t>
  </si>
  <si>
    <t>&gt;</t>
    <phoneticPr fontId="2" type="noConversion"/>
  </si>
  <si>
    <t>&lt;=</t>
  </si>
  <si>
    <t>&lt;</t>
    <phoneticPr fontId="10" type="noConversion"/>
  </si>
  <si>
    <t>Site8/%</t>
  </si>
  <si>
    <t>Site7/%</t>
  </si>
  <si>
    <t>Site6/%</t>
  </si>
  <si>
    <t>Site5/%</t>
  </si>
  <si>
    <t>Site4/%</t>
  </si>
  <si>
    <t>Site3/%</t>
  </si>
  <si>
    <t>Site2/%</t>
  </si>
  <si>
    <t>Site1/%</t>
  </si>
  <si>
    <t>All Site/%</t>
  </si>
  <si>
    <t>Site8/N</t>
  </si>
  <si>
    <t>Site7/N</t>
  </si>
  <si>
    <t>Site6/N</t>
  </si>
  <si>
    <t>Site5/N</t>
  </si>
  <si>
    <t>Site4/N</t>
  </si>
  <si>
    <t>Site3/N</t>
  </si>
  <si>
    <t>Site2/N</t>
  </si>
  <si>
    <t>Site1/N</t>
  </si>
  <si>
    <t>All Site</t>
  </si>
  <si>
    <t>Range</t>
  </si>
  <si>
    <t>Error</t>
    <phoneticPr fontId="2" type="noConversion"/>
  </si>
  <si>
    <t>LiqunData_V0.066.xlsb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</si>
</sst>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12" x14ac:knownFonts="1">
    <font>
      <sz val="11"/>
      <color theme="1"/>
      <name val="等线"/>
      <family val="2"/>
      <scheme val="minor"/>
    </font>
    <font>
      <sz val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6"/>
      <name val="等线"/>
      <family val="3"/>
      <charset val="134"/>
      <scheme val="minor"/>
    </font>
    <font>
      <b/>
      <sz val="6"/>
      <name val="等线"/>
      <family val="3"/>
      <charset val="134"/>
      <scheme val="minor"/>
    </font>
    <font>
      <sz val="8"/>
      <color theme="0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6"/>
      <color rgb="FF002060"/>
      <name val="等线"/>
      <family val="3"/>
      <charset val="134"/>
      <scheme val="minor"/>
    </font>
    <font>
      <b/>
      <sz val="8"/>
      <color rgb="FFFF0000"/>
      <name val="等线"/>
      <family val="3"/>
      <charset val="134"/>
      <scheme val="minor"/>
    </font>
    <font>
      <b/>
      <sz val="8"/>
      <color rgb="FF00B050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8"/>
      <color rgb="FF003366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gradientFill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7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>
      <alignment vertical="center"/>
    </xf>
  </cellStyleXfs>
  <cellXfs count="40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3" fillId="0" borderId="0" xfId="0" applyFont="1"/>
    <xf numFmtId="176" fontId="3" fillId="0" borderId="1" xfId="0" applyNumberFormat="1" applyFont="1" applyBorder="1" applyAlignment="1">
      <alignment vertical="center"/>
    </xf>
    <xf numFmtId="0" fontId="4" fillId="2" borderId="1" xfId="0" applyFont="1" applyFill="1" applyBorder="1" applyAlignment="1">
      <alignment horizontal="right"/>
    </xf>
    <xf numFmtId="176" fontId="3" fillId="0" borderId="1" xfId="0" applyNumberFormat="1" applyFont="1" applyBorder="1"/>
    <xf numFmtId="0" fontId="5" fillId="0" borderId="0" xfId="0" applyFont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10" fontId="3" fillId="0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0" fontId="1" fillId="0" borderId="5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0" fontId="8" fillId="0" borderId="5" xfId="1" applyNumberFormat="1" applyFont="1" applyFill="1" applyBorder="1" applyAlignment="1">
      <alignment horizontal="center" vertical="center"/>
    </xf>
    <xf numFmtId="10" fontId="8" fillId="0" borderId="0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0" fontId="9" fillId="0" borderId="5" xfId="1" applyNumberFormat="1" applyFont="1" applyFill="1" applyBorder="1" applyAlignment="1">
      <alignment horizontal="center" vertical="center"/>
    </xf>
    <xf numFmtId="10" fontId="9" fillId="0" borderId="0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0" fontId="1" fillId="0" borderId="6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Exp!$B$43</c:f>
          <c:strCache>
            <c:ptCount val="1"/>
            <c:pt idx="0">
              <c:v>Date</c:v>
            </c:pt>
          </c:strCache>
        </c:strRef>
      </c:tx>
      <c:layout>
        <c:manualLayout>
          <c:xMode val="edge"/>
          <c:yMode val="edge"/>
          <c:x val="0.40107160455303564"/>
          <c:y val="1.9678984220964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2523334883555862E-2"/>
          <c:y val="0.1672449763424603"/>
          <c:w val="0.86225803234365606"/>
          <c:h val="0.645426231984657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Exp!$O$2</c:f>
              <c:strCache>
                <c:ptCount val="1"/>
                <c:pt idx="0">
                  <c:v>Site1/%</c:v>
                </c:pt>
              </c:strCache>
            </c:strRef>
          </c:tx>
          <c:spPr>
            <a:solidFill>
              <a:schemeClr val="accent2"/>
            </a:solidFill>
            <a:ln w="3175" cmpd="sng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Exp!$O$3:$O$27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4-4750-9ECC-8B7CB62759D4}"/>
            </c:ext>
          </c:extLst>
        </c:ser>
        <c:ser>
          <c:idx val="2"/>
          <c:order val="2"/>
          <c:tx>
            <c:strRef>
              <c:f>Exp!$P$2</c:f>
              <c:strCache>
                <c:ptCount val="1"/>
                <c:pt idx="0">
                  <c:v>Site2/%</c:v>
                </c:pt>
              </c:strCache>
            </c:strRef>
          </c:tx>
          <c:spPr>
            <a:solidFill>
              <a:schemeClr val="accent3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Exp!$P$3:$P$27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4-4750-9ECC-8B7CB62759D4}"/>
            </c:ext>
          </c:extLst>
        </c:ser>
        <c:ser>
          <c:idx val="3"/>
          <c:order val="3"/>
          <c:tx>
            <c:strRef>
              <c:f>Exp!$Q$2</c:f>
              <c:strCache>
                <c:ptCount val="1"/>
                <c:pt idx="0">
                  <c:v>Site3/%</c:v>
                </c:pt>
              </c:strCache>
            </c:strRef>
          </c:tx>
          <c:spPr>
            <a:solidFill>
              <a:schemeClr val="accent4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Exp!$Q$3:$Q$27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74-4750-9ECC-8B7CB62759D4}"/>
            </c:ext>
          </c:extLst>
        </c:ser>
        <c:ser>
          <c:idx val="4"/>
          <c:order val="4"/>
          <c:tx>
            <c:strRef>
              <c:f>Exp!$R$2</c:f>
              <c:strCache>
                <c:ptCount val="1"/>
                <c:pt idx="0">
                  <c:v>Site4/%</c:v>
                </c:pt>
              </c:strCache>
            </c:strRef>
          </c:tx>
          <c:spPr>
            <a:solidFill>
              <a:schemeClr val="accent5"/>
            </a:solidFill>
            <a:ln w="3175">
              <a:solidFill>
                <a:schemeClr val="tx1"/>
              </a:solidFill>
              <a:round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Exp!$R$3:$R$27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74-4750-9ECC-8B7CB62759D4}"/>
            </c:ext>
          </c:extLst>
        </c:ser>
        <c:ser>
          <c:idx val="5"/>
          <c:order val="5"/>
          <c:tx>
            <c:strRef>
              <c:f>Exp!$S$2</c:f>
              <c:strCache>
                <c:ptCount val="1"/>
                <c:pt idx="0">
                  <c:v>Site5/%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Exp!$S$3:$S$27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74-4750-9ECC-8B7CB62759D4}"/>
            </c:ext>
          </c:extLst>
        </c:ser>
        <c:ser>
          <c:idx val="6"/>
          <c:order val="6"/>
          <c:tx>
            <c:strRef>
              <c:f>Exp!$T$2</c:f>
              <c:strCache>
                <c:ptCount val="1"/>
                <c:pt idx="0">
                  <c:v>Site6/%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Exp!$T$3:$T$27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74-4750-9ECC-8B7CB62759D4}"/>
            </c:ext>
          </c:extLst>
        </c:ser>
        <c:ser>
          <c:idx val="7"/>
          <c:order val="7"/>
          <c:tx>
            <c:strRef>
              <c:f>Exp!$U$2</c:f>
              <c:strCache>
                <c:ptCount val="1"/>
                <c:pt idx="0">
                  <c:v>Site7/%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Exp!$U$3:$U$27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74-4750-9ECC-8B7CB62759D4}"/>
            </c:ext>
          </c:extLst>
        </c:ser>
        <c:ser>
          <c:idx val="8"/>
          <c:order val="8"/>
          <c:tx>
            <c:strRef>
              <c:f>Exp!$V$2</c:f>
              <c:strCache>
                <c:ptCount val="1"/>
                <c:pt idx="0">
                  <c:v>Site8/%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Exp!$V$3:$V$27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74-4750-9ECC-8B7CB6275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50"/>
        <c:axId val="602514335"/>
        <c:axId val="602511455"/>
      </c:barChart>
      <c:barChart>
        <c:barDir val="col"/>
        <c:grouping val="clustered"/>
        <c:varyColors val="0"/>
        <c:ser>
          <c:idx val="0"/>
          <c:order val="0"/>
          <c:tx>
            <c:strRef>
              <c:f>Exp!$N$2</c:f>
              <c:strCache>
                <c:ptCount val="1"/>
                <c:pt idx="0">
                  <c:v>All Site/%</c:v>
                </c:pt>
              </c:strCache>
            </c:strRef>
          </c:tx>
          <c:spPr>
            <a:solidFill>
              <a:schemeClr val="accent1">
                <a:alpha val="49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spcFirstLastPara="1" vertOverflow="ellipsis" vert="eaVert" wrap="square" anchor="ctr" anchorCtr="1"/>
              <a:lstStyle/>
              <a:p>
                <a:pPr>
                  <a:defRPr sz="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Exp!$A$3:$A$27</c:f>
                <c:numCache>
                  <c:formatCode>General</c:formatCode>
                  <c:ptCount val="25"/>
                  <c:pt idx="2">
                    <c:v>0</c:v>
                  </c:pt>
                  <c:pt idx="22">
                    <c:v>0</c:v>
                  </c:pt>
                </c:numCache>
              </c:numRef>
            </c:minus>
            <c:spPr>
              <a:solidFill>
                <a:schemeClr val="tx1"/>
              </a:solidFill>
              <a:ln w="12700" cap="rnd" cmpd="sng" algn="ctr">
                <a:solidFill>
                  <a:schemeClr val="accent2"/>
                </a:solidFill>
                <a:prstDash val="dash"/>
                <a:round/>
                <a:tailEnd type="none" w="med" len="med"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errBars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Exp!$N$3:$N$27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74-4750-9ECC-8B7CB6275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100"/>
        <c:axId val="1994187040"/>
        <c:axId val="1994195680"/>
      </c:barChart>
      <c:catAx>
        <c:axId val="602514335"/>
        <c:scaling>
          <c:orientation val="minMax"/>
        </c:scaling>
        <c:delete val="0"/>
        <c:axPos val="b"/>
        <c:numFmt formatCode="0.0000_ 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6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2511455"/>
        <c:crosses val="autoZero"/>
        <c:auto val="1"/>
        <c:lblAlgn val="ctr"/>
        <c:lblOffset val="100"/>
        <c:tickMarkSkip val="1"/>
        <c:noMultiLvlLbl val="0"/>
      </c:catAx>
      <c:valAx>
        <c:axId val="60251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2514335"/>
        <c:crosses val="autoZero"/>
        <c:crossBetween val="between"/>
      </c:valAx>
      <c:valAx>
        <c:axId val="199419568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94187040"/>
        <c:crosses val="max"/>
        <c:crossBetween val="between"/>
      </c:valAx>
      <c:catAx>
        <c:axId val="1994187040"/>
        <c:scaling>
          <c:orientation val="minMax"/>
        </c:scaling>
        <c:delete val="1"/>
        <c:axPos val="b"/>
        <c:numFmt formatCode="0.0000_ " sourceLinked="1"/>
        <c:majorTickMark val="out"/>
        <c:minorTickMark val="none"/>
        <c:tickLblPos val="nextTo"/>
        <c:crossAx val="199419568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b"/>
      <c:layout>
        <c:manualLayout>
          <c:xMode val="edge"/>
          <c:yMode val="edge"/>
          <c:x val="0.18139942218481267"/>
          <c:y val="0.93664059727506732"/>
          <c:w val="0.72869469773586359"/>
          <c:h val="6.33594739890498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gradFill flip="none" rotWithShape="1">
        <a:gsLst>
          <a:gs pos="0">
            <a:schemeClr val="accent1">
              <a:lumMod val="0"/>
              <a:lumOff val="100000"/>
            </a:schemeClr>
          </a:gs>
          <a:gs pos="35000">
            <a:schemeClr val="accent1">
              <a:lumMod val="0"/>
              <a:lumOff val="100000"/>
            </a:schemeClr>
          </a:gs>
          <a:gs pos="100000">
            <a:schemeClr val="accent1">
              <a:lumMod val="100000"/>
            </a:schemeClr>
          </a:gs>
        </a:gsLst>
        <a:path path="circle">
          <a:fillToRect l="50000" t="-80000" r="50000" b="180000"/>
        </a:path>
        <a:tileRect/>
      </a:gradFill>
      <a:prstDash val="solid"/>
      <a:round/>
    </a:ln>
    <a:effectLst/>
  </c:spPr>
  <c:txPr>
    <a:bodyPr rot="0" vert="horz"/>
    <a:lstStyle/>
    <a:p>
      <a:pPr>
        <a:defRPr sz="6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64009</xdr:colOff>
      <xdr:row>36</xdr:row>
      <xdr:rowOff>17171</xdr:rowOff>
    </xdr:from>
    <xdr:to>
      <xdr:col>17</xdr:col>
      <xdr:colOff>481724</xdr:colOff>
      <xdr:row>56</xdr:row>
      <xdr:rowOff>12192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AF230D9-B444-4065-957B-198582CE73B4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63500</xdr:colOff>
          <xdr:row>34</xdr:row>
          <xdr:rowOff>44450</xdr:rowOff>
        </xdr:from>
        <xdr:ext cx="2140927" cy="192454"/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A441FF4-656F-44D0-B3D5-E5FF03987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34</xdr:row>
          <xdr:rowOff>38100</xdr:rowOff>
        </xdr:from>
        <xdr:to>
          <xdr:col>15</xdr:col>
          <xdr:colOff>63500</xdr:colOff>
          <xdr:row>35</xdr:row>
          <xdr:rowOff>76200</xdr:rowOff>
        </xdr:to>
        <xdr:sp macro="" textlink="">
          <xdr:nvSpPr>
            <xdr:cNvPr id="1026" name="按钮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D16E468-D9D3-4B2B-A847-2CEE92E75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3366"/>
                  </a:solidFill>
                  <a:latin typeface="等线"/>
                  <a:ea typeface="等线"/>
                </a:rPr>
                <a:t>ReImportTestItem</a:t>
              </a:r>
            </a:p>
            <a:p>
              <a:pPr algn="ctr" rtl="0">
                <a:defRPr sz="1000"/>
              </a:pPr>
              <a:endParaRPr lang="zh-CN" altLang="en-US" sz="800" b="1" i="0" u="none" strike="noStrike" baseline="0">
                <a:solidFill>
                  <a:srgbClr val="003366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35</xdr:row>
          <xdr:rowOff>0</xdr:rowOff>
        </xdr:from>
        <xdr:ext cx="853830" cy="114300"/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AC9809D-1729-40BF-9BCF-503F61FFF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36</xdr:row>
          <xdr:rowOff>25400</xdr:rowOff>
        </xdr:from>
        <xdr:ext cx="853830" cy="109904"/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3E9BC27-114A-4FD3-AE19-8BE7DEA45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37</xdr:row>
          <xdr:rowOff>25400</xdr:rowOff>
        </xdr:from>
        <xdr:ext cx="853830" cy="109904"/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97B382A-4F0B-43D4-95D9-88971CA85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42</xdr:row>
          <xdr:rowOff>6350</xdr:rowOff>
        </xdr:from>
        <xdr:ext cx="853830" cy="114300"/>
        <xdr:sp macro="" textlink="">
          <xdr:nvSpPr>
            <xdr:cNvPr id="1030" name="Check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4239398-B545-401D-9629-97DD92106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43</xdr:row>
          <xdr:rowOff>6350</xdr:rowOff>
        </xdr:from>
        <xdr:ext cx="853830" cy="114300"/>
        <xdr:sp macro="" textlink="">
          <xdr:nvSpPr>
            <xdr:cNvPr id="1031" name="CheckBox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A496AB80-E866-4A1D-A489-9037963A2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44</xdr:row>
          <xdr:rowOff>25400</xdr:rowOff>
        </xdr:from>
        <xdr:ext cx="853830" cy="109904"/>
        <xdr:sp macro="" textlink="">
          <xdr:nvSpPr>
            <xdr:cNvPr id="1032" name="CheckBox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1F75FE5-6F0B-4E00-A57A-5EFB7C9A5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45</xdr:row>
          <xdr:rowOff>6350</xdr:rowOff>
        </xdr:from>
        <xdr:ext cx="853830" cy="114300"/>
        <xdr:sp macro="" textlink="">
          <xdr:nvSpPr>
            <xdr:cNvPr id="1033" name="CheckBox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B510629C-2701-4C2B-8149-22740F46C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46</xdr:row>
          <xdr:rowOff>6350</xdr:rowOff>
        </xdr:from>
        <xdr:ext cx="853830" cy="114300"/>
        <xdr:sp macro="" textlink="">
          <xdr:nvSpPr>
            <xdr:cNvPr id="1034" name="CheckBox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3977341-89CF-4B63-A293-B3F7CF89C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47</xdr:row>
          <xdr:rowOff>25400</xdr:rowOff>
        </xdr:from>
        <xdr:ext cx="853830" cy="109904"/>
        <xdr:sp macro="" textlink="">
          <xdr:nvSpPr>
            <xdr:cNvPr id="1035" name="CheckBox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C2632337-FDD3-44C4-B9D4-02FFC2430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48</xdr:row>
          <xdr:rowOff>19488</xdr:rowOff>
        </xdr:from>
        <xdr:ext cx="853830" cy="111874"/>
        <xdr:sp macro="" textlink="">
          <xdr:nvSpPr>
            <xdr:cNvPr id="1036" name="CheckBox7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F87B0B87-64EC-4A00-8FEA-63B418579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49</xdr:row>
          <xdr:rowOff>25400</xdr:rowOff>
        </xdr:from>
        <xdr:ext cx="853830" cy="109904"/>
        <xdr:sp macro="" textlink="">
          <xdr:nvSpPr>
            <xdr:cNvPr id="1037" name="CheckBox8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834F8D5F-668E-4CC8-A3B7-3C91607BD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50</xdr:row>
          <xdr:rowOff>25400</xdr:rowOff>
        </xdr:from>
        <xdr:ext cx="853830" cy="109904"/>
        <xdr:sp macro="" textlink="">
          <xdr:nvSpPr>
            <xdr:cNvPr id="1038" name="CheckBox9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A8EA201C-D9A4-48E4-9D81-949940E6E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xdr:oneCellAnchor>
    <xdr:from>
      <xdr:col>0</xdr:col>
      <xdr:colOff>0</xdr:colOff>
      <xdr:row>0</xdr:row>
      <xdr:rowOff>8965</xdr:rowOff>
    </xdr:from>
    <xdr:ext cx="11636188" cy="3911394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9F6AC51B-7591-4F1C-9338-23BC5031E677}"/>
            </a:ext>
          </a:extLst>
        </xdr:cNvPr>
        <xdr:cNvSpPr/>
      </xdr:nvSpPr>
      <xdr:spPr>
        <a:xfrm>
          <a:off x="0" y="8965"/>
          <a:ext cx="11636188" cy="3911394"/>
        </a:xfrm>
        <a:prstGeom prst="rect">
          <a:avLst/>
        </a:prstGeom>
        <a:solidFill>
          <a:schemeClr val="accent4">
            <a:lumMod val="20000"/>
            <a:lumOff val="80000"/>
            <a:alpha val="40000"/>
          </a:schemeClr>
        </a:solidFill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altLang="zh-CN" sz="11500" b="0" cap="none" spc="0">
              <a:ln w="0"/>
              <a:solidFill>
                <a:schemeClr val="accent1">
                  <a:alpha val="6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Do</a:t>
          </a:r>
          <a:r>
            <a:rPr lang="en-US" altLang="zh-CN" sz="11500" b="0" cap="none" spc="0" baseline="0">
              <a:ln w="0"/>
              <a:solidFill>
                <a:schemeClr val="accent1">
                  <a:alpha val="6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not Change !</a:t>
          </a:r>
          <a:endParaRPr lang="zh-CN" altLang="en-US" sz="11500" b="0" cap="none" spc="0">
            <a:ln w="0"/>
            <a:solidFill>
              <a:schemeClr val="accent1">
                <a:alpha val="60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38</xdr:row>
          <xdr:rowOff>25400</xdr:rowOff>
        </xdr:from>
        <xdr:ext cx="853830" cy="109904"/>
        <xdr:sp macro="" textlink="">
          <xdr:nvSpPr>
            <xdr:cNvPr id="1039" name="OptionButton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B45D9455-F4D5-4728-B50A-E81EB9EC1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23867</xdr:colOff>
          <xdr:row>39</xdr:row>
          <xdr:rowOff>15108</xdr:rowOff>
        </xdr:from>
        <xdr:ext cx="859372" cy="122604"/>
        <xdr:sp macro="" textlink="">
          <xdr:nvSpPr>
            <xdr:cNvPr id="1040" name="Option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53247354-B4BA-44B8-9267-15F32058A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DataPrase\LQ-DataPrase\DataPrase-LightVBA\LiqunData_V0.066.xlsb" TargetMode="External"/><Relationship Id="rId1" Type="http://schemas.openxmlformats.org/officeDocument/2006/relationships/externalLinkPath" Target="LiqunData_V0.066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penFileMark"/>
      <sheetName val="Data"/>
      <sheetName val="FastPlot"/>
      <sheetName val="Gage"/>
      <sheetName val="Correlation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FC432-C48A-49FC-8D0D-9AD9637E8641}">
  <sheetPr codeName="Sheet3">
    <tabColor rgb="FFFFFF00"/>
  </sheetPr>
  <dimension ref="A1:Z65"/>
  <sheetViews>
    <sheetView tabSelected="1" topLeftCell="A24" zoomScale="130" zoomScaleNormal="130" workbookViewId="0">
      <selection activeCell="U35" sqref="U35"/>
    </sheetView>
  </sheetViews>
  <sheetFormatPr defaultColWidth="6.44140625" defaultRowHeight="10.199999999999999" x14ac:dyDescent="0.2"/>
  <cols>
    <col min="1" max="1" width="7.109375" style="1" bestFit="1" customWidth="1"/>
    <col min="2" max="3" width="6.44140625" style="1"/>
    <col min="4" max="4" width="6.77734375" style="1" bestFit="1" customWidth="1"/>
    <col min="5" max="16384" width="6.44140625" style="1"/>
  </cols>
  <sheetData>
    <row r="1" spans="1:22" x14ac:dyDescent="0.2">
      <c r="A1" s="39" t="s">
        <v>38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7"/>
      <c r="N1" s="38" t="b">
        <v>1</v>
      </c>
      <c r="O1" s="38" t="b">
        <v>1</v>
      </c>
      <c r="P1" s="38" t="b">
        <v>1</v>
      </c>
      <c r="Q1" s="38" t="b">
        <v>1</v>
      </c>
      <c r="R1" s="38" t="b">
        <v>1</v>
      </c>
      <c r="S1" s="38" t="b">
        <v>1</v>
      </c>
      <c r="T1" s="38" t="b">
        <v>1</v>
      </c>
      <c r="U1" s="38" t="b">
        <v>1</v>
      </c>
      <c r="V1" s="37" t="b">
        <v>1</v>
      </c>
    </row>
    <row r="2" spans="1:22" x14ac:dyDescent="0.2">
      <c r="A2" s="26" t="s">
        <v>37</v>
      </c>
      <c r="B2" s="24"/>
      <c r="C2" s="24"/>
      <c r="D2" s="24" t="s">
        <v>36</v>
      </c>
      <c r="E2" s="24" t="s">
        <v>35</v>
      </c>
      <c r="F2" s="24" t="s">
        <v>34</v>
      </c>
      <c r="G2" s="24" t="s">
        <v>33</v>
      </c>
      <c r="H2" s="24" t="s">
        <v>32</v>
      </c>
      <c r="I2" s="24" t="s">
        <v>31</v>
      </c>
      <c r="J2" s="24" t="s">
        <v>30</v>
      </c>
      <c r="K2" s="24" t="s">
        <v>29</v>
      </c>
      <c r="L2" s="24" t="s">
        <v>28</v>
      </c>
      <c r="M2" s="24" t="s">
        <v>27</v>
      </c>
      <c r="N2" s="24" t="s">
        <v>26</v>
      </c>
      <c r="O2" s="24" t="s">
        <v>25</v>
      </c>
      <c r="P2" s="24" t="s">
        <v>24</v>
      </c>
      <c r="Q2" s="24" t="s">
        <v>23</v>
      </c>
      <c r="R2" s="24" t="s">
        <v>22</v>
      </c>
      <c r="S2" s="24" t="s">
        <v>21</v>
      </c>
      <c r="T2" s="24" t="s">
        <v>20</v>
      </c>
      <c r="U2" s="24" t="s">
        <v>19</v>
      </c>
      <c r="V2" s="36" t="s">
        <v>18</v>
      </c>
    </row>
    <row r="3" spans="1:22" x14ac:dyDescent="0.2">
      <c r="A3" s="26"/>
      <c r="B3" s="24">
        <v>-2</v>
      </c>
      <c r="C3" s="24" t="s">
        <v>16</v>
      </c>
      <c r="D3" s="30">
        <f>$D$36+B3*$F$36</f>
        <v>0</v>
      </c>
      <c r="E3" s="29">
        <f>COUNTIFS([1]Data!BL$409:'[1]Data'!BL$1211,"&lt;=" &amp; Exp!$D3)</f>
        <v>0</v>
      </c>
      <c r="F3" s="29">
        <f>COUNTIFS([1]Data!BL$409:'[1]Data'!BL$1211,"&lt;=" &amp; Exp!$D3,[1]Data!$D$409:'[1]Data'!$D$1211,"= 1")</f>
        <v>0</v>
      </c>
      <c r="G3" s="29">
        <f>COUNTIFS([1]Data!BL$409:'[1]Data'!BL$1211,"&lt;=" &amp; Exp!$D3,[1]Data!$D$409:'[1]Data'!$D$1211,"= 2")</f>
        <v>0</v>
      </c>
      <c r="H3" s="29">
        <f>COUNTIFS([1]Data!BL$409:'[1]Data'!BL$1211,"&lt;=" &amp; Exp!$D3,[1]Data!$D$409:'[1]Data'!$D$1211,"= 3")</f>
        <v>0</v>
      </c>
      <c r="I3" s="29">
        <f>COUNTIFS([1]Data!BL$409:'[1]Data'!BL$1211,"&lt;=" &amp; Exp!$D3,[1]Data!$D$409:'[1]Data'!$D$1211,"= 4")</f>
        <v>0</v>
      </c>
      <c r="J3" s="29">
        <f>COUNTIFS([1]Data!BL$409:'[1]Data'!BL$1211,"&lt;=" &amp; Exp!$D3,[1]Data!$D$409:'[1]Data'!$D$1211,"= 5")</f>
        <v>0</v>
      </c>
      <c r="K3" s="29">
        <f>COUNTIFS([1]Data!BL$409:'[1]Data'!BL$1211,"&lt;=" &amp; Exp!$D3,[1]Data!$D$409:'[1]Data'!$D$1211,"= 6")</f>
        <v>0</v>
      </c>
      <c r="L3" s="29">
        <f>COUNTIFS([1]Data!BL$409:'[1]Data'!BL$1211,"&lt;=" &amp; Exp!$D3,[1]Data!$D$409:'[1]Data'!$D$1211,"= 7")</f>
        <v>0</v>
      </c>
      <c r="M3" s="29">
        <f>COUNTIFS([1]Data!BL$409:'[1]Data'!BL$1211,"&lt;=" &amp; Exp!$D3,[1]Data!$D$409:'[1]Data'!$D$1211,"= 8")</f>
        <v>0</v>
      </c>
      <c r="N3" s="28" t="e">
        <f>IF(N$1=TRUE,$E3/$E$28,"")</f>
        <v>#DIV/0!</v>
      </c>
      <c r="O3" s="28" t="e">
        <f>IF(O$1=TRUE,F3/$E$28,"")</f>
        <v>#DIV/0!</v>
      </c>
      <c r="P3" s="28" t="e">
        <f>IF(P$1=TRUE,G3/$E$28,"")</f>
        <v>#DIV/0!</v>
      </c>
      <c r="Q3" s="28" t="e">
        <f>IF(Q$1=TRUE,H3/$E$28,"")</f>
        <v>#DIV/0!</v>
      </c>
      <c r="R3" s="28" t="e">
        <f>IF(R$1=TRUE,I3/$E$28,"")</f>
        <v>#DIV/0!</v>
      </c>
      <c r="S3" s="28" t="e">
        <f>IF(S$1=TRUE,J3/$E$28,"")</f>
        <v>#DIV/0!</v>
      </c>
      <c r="T3" s="28" t="e">
        <f>IF(T$1=TRUE,K3/$E$28,"")</f>
        <v>#DIV/0!</v>
      </c>
      <c r="U3" s="28" t="e">
        <f>IF(U$1=TRUE,L3/$E$28,"")</f>
        <v>#DIV/0!</v>
      </c>
      <c r="V3" s="27" t="e">
        <f>IF(V$1=TRUE,M3/$E$28,"")</f>
        <v>#DIV/0!</v>
      </c>
    </row>
    <row r="4" spans="1:22" x14ac:dyDescent="0.2">
      <c r="A4" s="26"/>
      <c r="B4" s="24">
        <v>-1</v>
      </c>
      <c r="C4" s="24" t="s">
        <v>16</v>
      </c>
      <c r="D4" s="30">
        <f>$D$36+B4*$F$36</f>
        <v>0</v>
      </c>
      <c r="E4" s="29">
        <f>COUNTIFS([1]Data!BL$409:'[1]Data'!BL$1211,"&gt;" &amp; Exp!$D3,[1]Data!BL$409:'[1]Data'!BL$1211,"&lt;="&amp; Exp!$D4)</f>
        <v>0</v>
      </c>
      <c r="F4" s="29">
        <f>COUNTIFS([1]Data!BL$409:'[1]Data'!BL$1211,"&gt;" &amp; Exp!$D3,[1]Data!BL$409:'[1]Data'!BL$1211,"&lt;="&amp; Exp!$D4,[1]Data!$D$409:'[1]Data'!$D$1211,"= 1")</f>
        <v>0</v>
      </c>
      <c r="G4" s="29">
        <f>COUNTIFS([1]Data!BL$409:'[1]Data'!BL$1211,"&gt;" &amp; Exp!$D3,[1]Data!BL$409:'[1]Data'!BL$1211,"&lt;="&amp; Exp!$D4,[1]Data!$D$409:'[1]Data'!$D$1211,"= 2")</f>
        <v>0</v>
      </c>
      <c r="H4" s="29">
        <f>COUNTIFS([1]Data!BL$409:'[1]Data'!BL$1211,"&gt;" &amp; Exp!$D3,[1]Data!BL$409:'[1]Data'!BL$1211,"&lt;="&amp; Exp!$D4,[1]Data!$D$409:'[1]Data'!$D$1211,"= 3")</f>
        <v>0</v>
      </c>
      <c r="I4" s="29">
        <f>COUNTIFS([1]Data!BL$409:'[1]Data'!BL$1211,"&gt;" &amp; Exp!$D3,[1]Data!BL$409:'[1]Data'!BL$1211,"&lt;="&amp; Exp!$D4,[1]Data!$D$409:'[1]Data'!$D$1211,"= 4")</f>
        <v>0</v>
      </c>
      <c r="J4" s="29">
        <f>COUNTIFS([1]Data!BL$409:'[1]Data'!BL$1211,"&gt;" &amp; Exp!$D3,[1]Data!BL$409:'[1]Data'!BL$1211,"&lt;="&amp; Exp!$D4,[1]Data!$D$409:'[1]Data'!$D$1211,"= 5")</f>
        <v>0</v>
      </c>
      <c r="K4" s="29">
        <f>COUNTIFS([1]Data!BL$409:'[1]Data'!BL$1211,"&gt;" &amp; Exp!$D3,[1]Data!BL$409:'[1]Data'!BL$1211,"&lt;="&amp; Exp!$D4,[1]Data!$D$409:'[1]Data'!$D$1211,"= 6")</f>
        <v>0</v>
      </c>
      <c r="L4" s="29">
        <f>COUNTIFS([1]Data!BL$409:'[1]Data'!BL$1211,"&gt;" &amp; Exp!$D3,[1]Data!BL$409:'[1]Data'!BL$1211,"&lt;="&amp; Exp!$D4,[1]Data!$D$409:'[1]Data'!$D$1211,"= 7")</f>
        <v>0</v>
      </c>
      <c r="M4" s="29">
        <f>COUNTIFS([1]Data!BL$409:'[1]Data'!BL$1211,"&gt;" &amp; Exp!$D3,[1]Data!BL$409:'[1]Data'!BL$1211,"&lt;="&amp; Exp!$D4,[1]Data!$D$409:'[1]Data'!$D$1211,"= 8")</f>
        <v>0</v>
      </c>
      <c r="N4" s="28" t="e">
        <f>IF(N$1=TRUE,$E4/$E$28,"")</f>
        <v>#DIV/0!</v>
      </c>
      <c r="O4" s="28" t="e">
        <f>IF(O$1=TRUE,F4/$E$28,"")</f>
        <v>#DIV/0!</v>
      </c>
      <c r="P4" s="28" t="e">
        <f>IF(P$1=TRUE,G4/$E$28,"")</f>
        <v>#DIV/0!</v>
      </c>
      <c r="Q4" s="28" t="e">
        <f>IF(Q$1=TRUE,H4/$E$28,"")</f>
        <v>#DIV/0!</v>
      </c>
      <c r="R4" s="28" t="e">
        <f>IF(R$1=TRUE,I4/$E$28,"")</f>
        <v>#DIV/0!</v>
      </c>
      <c r="S4" s="28" t="e">
        <f>IF(S$1=TRUE,J4/$E$28,"")</f>
        <v>#DIV/0!</v>
      </c>
      <c r="T4" s="28" t="e">
        <f>IF(T$1=TRUE,K4/$E$28,"")</f>
        <v>#DIV/0!</v>
      </c>
      <c r="U4" s="28" t="e">
        <f>IF(U$1=TRUE,L4/$E$28,"")</f>
        <v>#DIV/0!</v>
      </c>
      <c r="V4" s="27" t="e">
        <f>IF(V$1=TRUE,M4/$E$28,"")</f>
        <v>#DIV/0!</v>
      </c>
    </row>
    <row r="5" spans="1:22" x14ac:dyDescent="0.2">
      <c r="A5" s="35" t="e">
        <f>-MAX(Exp!N3:'Exp'!N27)</f>
        <v>#DIV/0!</v>
      </c>
      <c r="B5" s="24">
        <v>0</v>
      </c>
      <c r="C5" s="24" t="s">
        <v>17</v>
      </c>
      <c r="D5" s="30">
        <f>$D$36+B5*$F$36</f>
        <v>0</v>
      </c>
      <c r="E5" s="29">
        <f>COUNTIFS([1]Data!BL$409:'[1]Data'!BL$1211,"&gt;" &amp; Exp!$D4,[1]Data!BL$409:'[1]Data'!BL$1211,"&lt;="&amp; Exp!$D5)</f>
        <v>0</v>
      </c>
      <c r="F5" s="29">
        <f>COUNTIFS([1]Data!BL$409:'[1]Data'!BL$1211,"&gt;" &amp; Exp!$D4,[1]Data!BL$409:'[1]Data'!BL$1211,"&lt;="&amp; Exp!$D5,[1]Data!$D$409:'[1]Data'!$D$1211,"= 1")</f>
        <v>0</v>
      </c>
      <c r="G5" s="29">
        <f>COUNTIFS([1]Data!BL$409:'[1]Data'!BL$1211,"&gt;" &amp; Exp!$D4,[1]Data!BL$409:'[1]Data'!BL$1211,"&lt;="&amp; Exp!$D5,[1]Data!$D$409:'[1]Data'!$D$1211,"= 2")</f>
        <v>0</v>
      </c>
      <c r="H5" s="29">
        <f>COUNTIFS([1]Data!BL$409:'[1]Data'!BL$1211,"&gt;" &amp; Exp!$D4,[1]Data!BL$409:'[1]Data'!BL$1211,"&lt;="&amp; Exp!$D5,[1]Data!$D$409:'[1]Data'!$D$1211,"= 3")</f>
        <v>0</v>
      </c>
      <c r="I5" s="29">
        <f>COUNTIFS([1]Data!BL$409:'[1]Data'!BL$1211,"&gt;" &amp; Exp!$D4,[1]Data!BL$409:'[1]Data'!BL$1211,"&lt;="&amp; Exp!$D5,[1]Data!$D$409:'[1]Data'!$D$1211,"= 4")</f>
        <v>0</v>
      </c>
      <c r="J5" s="29">
        <f>COUNTIFS([1]Data!BL$409:'[1]Data'!BL$1211,"&gt;" &amp; Exp!$D4,[1]Data!BL$409:'[1]Data'!BL$1211,"&lt;="&amp; Exp!$D5,[1]Data!$D$409:'[1]Data'!$D$1211,"= 5")</f>
        <v>0</v>
      </c>
      <c r="K5" s="29">
        <f>COUNTIFS([1]Data!BL$409:'[1]Data'!BL$1211,"&gt;" &amp; Exp!$D4,[1]Data!BL$409:'[1]Data'!BL$1211,"&lt;="&amp; Exp!$D5,[1]Data!$D$409:'[1]Data'!$D$1211,"= 6")</f>
        <v>0</v>
      </c>
      <c r="L5" s="29">
        <f>COUNTIFS([1]Data!BL$409:'[1]Data'!BL$1211,"&gt;" &amp; Exp!$D4,[1]Data!BL$409:'[1]Data'!BL$1211,"&lt;="&amp; Exp!$D5,[1]Data!$D$409:'[1]Data'!$D$1211,"= 7")</f>
        <v>0</v>
      </c>
      <c r="M5" s="29">
        <f>COUNTIFS([1]Data!BL$409:'[1]Data'!BL$1211,"&gt;" &amp; Exp!$D4,[1]Data!BL$409:'[1]Data'!BL$1211,"&lt;="&amp; Exp!$D5,[1]Data!$D$409:'[1]Data'!$D$1211,"= 8")</f>
        <v>0</v>
      </c>
      <c r="N5" s="28" t="e">
        <f>IF(N$1=TRUE,$E5/$E$28,"")</f>
        <v>#DIV/0!</v>
      </c>
      <c r="O5" s="28" t="e">
        <f>IF(O$1=TRUE,F5/$E$28,"")</f>
        <v>#DIV/0!</v>
      </c>
      <c r="P5" s="28" t="e">
        <f>IF(P$1=TRUE,G5/$E$28,"")</f>
        <v>#DIV/0!</v>
      </c>
      <c r="Q5" s="28" t="e">
        <f>IF(Q$1=TRUE,H5/$E$28,"")</f>
        <v>#DIV/0!</v>
      </c>
      <c r="R5" s="28" t="e">
        <f>IF(R$1=TRUE,I5/$E$28,"")</f>
        <v>#DIV/0!</v>
      </c>
      <c r="S5" s="28" t="e">
        <f>IF(S$1=TRUE,J5/$E$28,"")</f>
        <v>#DIV/0!</v>
      </c>
      <c r="T5" s="28" t="e">
        <f>IF(T$1=TRUE,K5/$E$28,"")</f>
        <v>#DIV/0!</v>
      </c>
      <c r="U5" s="28" t="e">
        <f>IF(U$1=TRUE,L5/$E$28,"")</f>
        <v>#DIV/0!</v>
      </c>
      <c r="V5" s="27" t="e">
        <f>IF(V$1=TRUE,M5/$E$28,"")</f>
        <v>#DIV/0!</v>
      </c>
    </row>
    <row r="6" spans="1:22" x14ac:dyDescent="0.2">
      <c r="A6" s="26"/>
      <c r="B6" s="24">
        <v>1</v>
      </c>
      <c r="C6" s="24" t="s">
        <v>16</v>
      </c>
      <c r="D6" s="34">
        <f>$D$36+B6*$F$36</f>
        <v>0</v>
      </c>
      <c r="E6" s="33">
        <f>COUNTIFS([1]Data!BL$409:'[1]Data'!BL$1211,"&gt;" &amp; Exp!$D5,[1]Data!BL$409:'[1]Data'!BL$1211,"&lt;="&amp; Exp!$D6)</f>
        <v>0</v>
      </c>
      <c r="F6" s="33">
        <f>COUNTIFS([1]Data!BL$409:'[1]Data'!BL$1211,"&gt;" &amp; Exp!$D5,[1]Data!BL$409:'[1]Data'!BL$1211,"&lt;="&amp; Exp!$D6,[1]Data!$D$409:'[1]Data'!$D$1211,"= 1")</f>
        <v>0</v>
      </c>
      <c r="G6" s="33">
        <f>COUNTIFS([1]Data!BL$409:'[1]Data'!BL$1211,"&gt;" &amp; Exp!$D5,[1]Data!BL$409:'[1]Data'!BL$1211,"&lt;="&amp; Exp!$D6,[1]Data!$D$409:'[1]Data'!$D$1211,"= 2")</f>
        <v>0</v>
      </c>
      <c r="H6" s="33">
        <f>COUNTIFS([1]Data!BL$409:'[1]Data'!BL$1211,"&gt;" &amp; Exp!$D5,[1]Data!BL$409:'[1]Data'!BL$1211,"&lt;="&amp; Exp!$D6,[1]Data!$D$409:'[1]Data'!$D$1211,"= 3")</f>
        <v>0</v>
      </c>
      <c r="I6" s="33">
        <f>COUNTIFS([1]Data!BL$409:'[1]Data'!BL$1211,"&gt;" &amp; Exp!$D5,[1]Data!BL$409:'[1]Data'!BL$1211,"&lt;="&amp; Exp!$D6,[1]Data!$D$409:'[1]Data'!$D$1211,"= 4")</f>
        <v>0</v>
      </c>
      <c r="J6" s="33">
        <f>COUNTIFS([1]Data!BL$409:'[1]Data'!BL$1211,"&gt;" &amp; Exp!$D5,[1]Data!BL$409:'[1]Data'!BL$1211,"&lt;="&amp; Exp!$D6,[1]Data!$D$409:'[1]Data'!$D$1211,"= 5")</f>
        <v>0</v>
      </c>
      <c r="K6" s="33">
        <f>COUNTIFS([1]Data!BL$409:'[1]Data'!BL$1211,"&gt;" &amp; Exp!$D5,[1]Data!BL$409:'[1]Data'!BL$1211,"&lt;="&amp; Exp!$D6,[1]Data!$D$409:'[1]Data'!$D$1211,"= 6")</f>
        <v>0</v>
      </c>
      <c r="L6" s="33">
        <f>COUNTIFS([1]Data!BL$409:'[1]Data'!BL$1211,"&gt;" &amp; Exp!$D5,[1]Data!BL$409:'[1]Data'!BL$1211,"&lt;="&amp; Exp!$D6,[1]Data!$D$409:'[1]Data'!$D$1211,"= 7")</f>
        <v>0</v>
      </c>
      <c r="M6" s="33">
        <f>COUNTIFS([1]Data!BL$409:'[1]Data'!BL$1211,"&gt;" &amp; Exp!$D5,[1]Data!BL$409:'[1]Data'!BL$1211,"&lt;="&amp; Exp!$D6,[1]Data!$D$409:'[1]Data'!$D$1211,"= 8")</f>
        <v>0</v>
      </c>
      <c r="N6" s="32" t="e">
        <f>IF(N$1=TRUE,$E6/$E$28,"")</f>
        <v>#DIV/0!</v>
      </c>
      <c r="O6" s="32" t="e">
        <f>IF(O$1=TRUE,F6/$E$28,"")</f>
        <v>#DIV/0!</v>
      </c>
      <c r="P6" s="32" t="e">
        <f>IF(P$1=TRUE,G6/$E$28,"")</f>
        <v>#DIV/0!</v>
      </c>
      <c r="Q6" s="32" t="e">
        <f>IF(Q$1=TRUE,H6/$E$28,"")</f>
        <v>#DIV/0!</v>
      </c>
      <c r="R6" s="32" t="e">
        <f>IF(R$1=TRUE,I6/$E$28,"")</f>
        <v>#DIV/0!</v>
      </c>
      <c r="S6" s="32" t="e">
        <f>IF(S$1=TRUE,J6/$E$28,"")</f>
        <v>#DIV/0!</v>
      </c>
      <c r="T6" s="32" t="e">
        <f>IF(T$1=TRUE,K6/$E$28,"")</f>
        <v>#DIV/0!</v>
      </c>
      <c r="U6" s="32" t="e">
        <f>IF(U$1=TRUE,L6/$E$28,"")</f>
        <v>#DIV/0!</v>
      </c>
      <c r="V6" s="31" t="e">
        <f>IF(V$1=TRUE,M6/$E$28,"")</f>
        <v>#DIV/0!</v>
      </c>
    </row>
    <row r="7" spans="1:22" x14ac:dyDescent="0.2">
      <c r="A7" s="26"/>
      <c r="B7" s="24">
        <v>2</v>
      </c>
      <c r="C7" s="24" t="s">
        <v>16</v>
      </c>
      <c r="D7" s="34">
        <f>$D$36+B7*$F$36</f>
        <v>0</v>
      </c>
      <c r="E7" s="33">
        <f>COUNTIFS([1]Data!BL$409:'[1]Data'!BL$1211,"&gt;" &amp; Exp!$D6,[1]Data!BL$409:'[1]Data'!BL$1211,"&lt;="&amp; Exp!$D7)</f>
        <v>0</v>
      </c>
      <c r="F7" s="33">
        <f>COUNTIFS([1]Data!BL$409:'[1]Data'!BL$1211,"&gt;" &amp; Exp!$D6,[1]Data!BL$409:'[1]Data'!BL$1211,"&lt;="&amp; Exp!$D7,[1]Data!$D$409:'[1]Data'!$D$1211,"= 1")</f>
        <v>0</v>
      </c>
      <c r="G7" s="33">
        <f>COUNTIFS([1]Data!BL$409:'[1]Data'!BL$1211,"&gt;" &amp; Exp!$D6,[1]Data!BL$409:'[1]Data'!BL$1211,"&lt;="&amp; Exp!$D7,[1]Data!$D$409:'[1]Data'!$D$1211,"= 2")</f>
        <v>0</v>
      </c>
      <c r="H7" s="33">
        <f>COUNTIFS([1]Data!BL$409:'[1]Data'!BL$1211,"&gt;" &amp; Exp!$D6,[1]Data!BL$409:'[1]Data'!BL$1211,"&lt;="&amp; Exp!$D7,[1]Data!$D$409:'[1]Data'!$D$1211,"= 3")</f>
        <v>0</v>
      </c>
      <c r="I7" s="33">
        <f>COUNTIFS([1]Data!BL$409:'[1]Data'!BL$1211,"&gt;" &amp; Exp!$D6,[1]Data!BL$409:'[1]Data'!BL$1211,"&lt;="&amp; Exp!$D7,[1]Data!$D$409:'[1]Data'!$D$1211,"= 4")</f>
        <v>0</v>
      </c>
      <c r="J7" s="33">
        <f>COUNTIFS([1]Data!BL$409:'[1]Data'!BL$1211,"&gt;" &amp; Exp!$D6,[1]Data!BL$409:'[1]Data'!BL$1211,"&lt;="&amp; Exp!$D7,[1]Data!$D$409:'[1]Data'!$D$1211,"= 5")</f>
        <v>0</v>
      </c>
      <c r="K7" s="33">
        <f>COUNTIFS([1]Data!BL$409:'[1]Data'!BL$1211,"&gt;" &amp; Exp!$D6,[1]Data!BL$409:'[1]Data'!BL$1211,"&lt;="&amp; Exp!$D7,[1]Data!$D$409:'[1]Data'!$D$1211,"= 6")</f>
        <v>0</v>
      </c>
      <c r="L7" s="33">
        <f>COUNTIFS([1]Data!BL$409:'[1]Data'!BL$1211,"&gt;" &amp; Exp!$D6,[1]Data!BL$409:'[1]Data'!BL$1211,"&lt;="&amp; Exp!$D7,[1]Data!$D$409:'[1]Data'!$D$1211,"= 7")</f>
        <v>0</v>
      </c>
      <c r="M7" s="33">
        <f>COUNTIFS([1]Data!BL$409:'[1]Data'!BL$1211,"&gt;" &amp; Exp!$D6,[1]Data!BL$409:'[1]Data'!BL$1211,"&lt;="&amp; Exp!$D7,[1]Data!$D$409:'[1]Data'!$D$1211,"= 8")</f>
        <v>0</v>
      </c>
      <c r="N7" s="32" t="e">
        <f>IF(N$1=TRUE,$E7/$E$28,"")</f>
        <v>#DIV/0!</v>
      </c>
      <c r="O7" s="32" t="e">
        <f>IF(O$1=TRUE,F7/$E$28,"")</f>
        <v>#DIV/0!</v>
      </c>
      <c r="P7" s="32" t="e">
        <f>IF(P$1=TRUE,G7/$E$28,"")</f>
        <v>#DIV/0!</v>
      </c>
      <c r="Q7" s="32" t="e">
        <f>IF(Q$1=TRUE,H7/$E$28,"")</f>
        <v>#DIV/0!</v>
      </c>
      <c r="R7" s="32" t="e">
        <f>IF(R$1=TRUE,I7/$E$28,"")</f>
        <v>#DIV/0!</v>
      </c>
      <c r="S7" s="32" t="e">
        <f>IF(S$1=TRUE,J7/$E$28,"")</f>
        <v>#DIV/0!</v>
      </c>
      <c r="T7" s="32" t="e">
        <f>IF(T$1=TRUE,K7/$E$28,"")</f>
        <v>#DIV/0!</v>
      </c>
      <c r="U7" s="32" t="e">
        <f>IF(U$1=TRUE,L7/$E$28,"")</f>
        <v>#DIV/0!</v>
      </c>
      <c r="V7" s="31" t="e">
        <f>IF(V$1=TRUE,M7/$E$28,"")</f>
        <v>#DIV/0!</v>
      </c>
    </row>
    <row r="8" spans="1:22" x14ac:dyDescent="0.2">
      <c r="A8" s="26"/>
      <c r="B8" s="24">
        <v>3</v>
      </c>
      <c r="C8" s="24" t="s">
        <v>16</v>
      </c>
      <c r="D8" s="34">
        <f>$D$36+B8*$F$36</f>
        <v>0</v>
      </c>
      <c r="E8" s="33">
        <f>COUNTIFS([1]Data!BL$409:'[1]Data'!BL$1211,"&gt;" &amp; Exp!$D7,[1]Data!BL$409:'[1]Data'!BL$1211,"&lt;="&amp; Exp!$D8)</f>
        <v>0</v>
      </c>
      <c r="F8" s="33">
        <f>COUNTIFS([1]Data!BL$409:'[1]Data'!BL$1211,"&gt;" &amp; Exp!$D7,[1]Data!BL$409:'[1]Data'!BL$1211,"&lt;="&amp; Exp!$D8,[1]Data!$D$409:'[1]Data'!$D$1211,"= 1")</f>
        <v>0</v>
      </c>
      <c r="G8" s="33">
        <f>COUNTIFS([1]Data!BL$409:'[1]Data'!BL$1211,"&gt;" &amp; Exp!$D7,[1]Data!BL$409:'[1]Data'!BL$1211,"&lt;="&amp; Exp!$D8,[1]Data!$D$409:'[1]Data'!$D$1211,"= 2")</f>
        <v>0</v>
      </c>
      <c r="H8" s="33">
        <f>COUNTIFS([1]Data!BL$409:'[1]Data'!BL$1211,"&gt;" &amp; Exp!$D7,[1]Data!BL$409:'[1]Data'!BL$1211,"&lt;="&amp; Exp!$D8,[1]Data!$D$409:'[1]Data'!$D$1211,"= 3")</f>
        <v>0</v>
      </c>
      <c r="I8" s="33">
        <f>COUNTIFS([1]Data!BL$409:'[1]Data'!BL$1211,"&gt;" &amp; Exp!$D7,[1]Data!BL$409:'[1]Data'!BL$1211,"&lt;="&amp; Exp!$D8,[1]Data!$D$409:'[1]Data'!$D$1211,"= 4")</f>
        <v>0</v>
      </c>
      <c r="J8" s="33">
        <f>COUNTIFS([1]Data!BL$409:'[1]Data'!BL$1211,"&gt;" &amp; Exp!$D7,[1]Data!BL$409:'[1]Data'!BL$1211,"&lt;="&amp; Exp!$D8,[1]Data!$D$409:'[1]Data'!$D$1211,"= 5")</f>
        <v>0</v>
      </c>
      <c r="K8" s="33">
        <f>COUNTIFS([1]Data!BL$409:'[1]Data'!BL$1211,"&gt;" &amp; Exp!$D7,[1]Data!BL$409:'[1]Data'!BL$1211,"&lt;="&amp; Exp!$D8,[1]Data!$D$409:'[1]Data'!$D$1211,"= 6")</f>
        <v>0</v>
      </c>
      <c r="L8" s="33">
        <f>COUNTIFS([1]Data!BL$409:'[1]Data'!BL$1211,"&gt;" &amp; Exp!$D7,[1]Data!BL$409:'[1]Data'!BL$1211,"&lt;="&amp; Exp!$D8,[1]Data!$D$409:'[1]Data'!$D$1211,"= 7")</f>
        <v>0</v>
      </c>
      <c r="M8" s="33">
        <f>COUNTIFS([1]Data!BL$409:'[1]Data'!BL$1211,"&gt;" &amp; Exp!$D7,[1]Data!BL$409:'[1]Data'!BL$1211,"&lt;="&amp; Exp!$D8,[1]Data!$D$409:'[1]Data'!$D$1211,"= 8")</f>
        <v>0</v>
      </c>
      <c r="N8" s="32" t="e">
        <f>IF(N$1=TRUE,$E8/$E$28,"")</f>
        <v>#DIV/0!</v>
      </c>
      <c r="O8" s="32" t="e">
        <f>IF(O$1=TRUE,F8/$E$28,"")</f>
        <v>#DIV/0!</v>
      </c>
      <c r="P8" s="32" t="e">
        <f>IF(P$1=TRUE,G8/$E$28,"")</f>
        <v>#DIV/0!</v>
      </c>
      <c r="Q8" s="32" t="e">
        <f>IF(Q$1=TRUE,H8/$E$28,"")</f>
        <v>#DIV/0!</v>
      </c>
      <c r="R8" s="32" t="e">
        <f>IF(R$1=TRUE,I8/$E$28,"")</f>
        <v>#DIV/0!</v>
      </c>
      <c r="S8" s="32" t="e">
        <f>IF(S$1=TRUE,J8/$E$28,"")</f>
        <v>#DIV/0!</v>
      </c>
      <c r="T8" s="32" t="e">
        <f>IF(T$1=TRUE,K8/$E$28,"")</f>
        <v>#DIV/0!</v>
      </c>
      <c r="U8" s="32" t="e">
        <f>IF(U$1=TRUE,L8/$E$28,"")</f>
        <v>#DIV/0!</v>
      </c>
      <c r="V8" s="31" t="e">
        <f>IF(V$1=TRUE,M8/$E$28,"")</f>
        <v>#DIV/0!</v>
      </c>
    </row>
    <row r="9" spans="1:22" x14ac:dyDescent="0.2">
      <c r="A9" s="26"/>
      <c r="B9" s="24">
        <v>4</v>
      </c>
      <c r="C9" s="24" t="s">
        <v>16</v>
      </c>
      <c r="D9" s="34">
        <f>$D$36+B9*$F$36</f>
        <v>0</v>
      </c>
      <c r="E9" s="33">
        <f>COUNTIFS([1]Data!BL$409:'[1]Data'!BL$1211,"&gt;" &amp; Exp!$D8,[1]Data!BL$409:'[1]Data'!BL$1211,"&lt;="&amp; Exp!$D9)</f>
        <v>0</v>
      </c>
      <c r="F9" s="33">
        <f>COUNTIFS([1]Data!BL$409:'[1]Data'!BL$1211,"&gt;" &amp; Exp!$D8,[1]Data!BL$409:'[1]Data'!BL$1211,"&lt;="&amp; Exp!$D9,[1]Data!$D$409:'[1]Data'!$D$1211,"= 1")</f>
        <v>0</v>
      </c>
      <c r="G9" s="33">
        <f>COUNTIFS([1]Data!BL$409:'[1]Data'!BL$1211,"&gt;" &amp; Exp!$D8,[1]Data!BL$409:'[1]Data'!BL$1211,"&lt;="&amp; Exp!$D9,[1]Data!$D$409:'[1]Data'!$D$1211,"= 2")</f>
        <v>0</v>
      </c>
      <c r="H9" s="33">
        <f>COUNTIFS([1]Data!BL$409:'[1]Data'!BL$1211,"&gt;" &amp; Exp!$D8,[1]Data!BL$409:'[1]Data'!BL$1211,"&lt;="&amp; Exp!$D9,[1]Data!$D$409:'[1]Data'!$D$1211,"= 3")</f>
        <v>0</v>
      </c>
      <c r="I9" s="33">
        <f>COUNTIFS([1]Data!BL$409:'[1]Data'!BL$1211,"&gt;" &amp; Exp!$D8,[1]Data!BL$409:'[1]Data'!BL$1211,"&lt;="&amp; Exp!$D9,[1]Data!$D$409:'[1]Data'!$D$1211,"= 4")</f>
        <v>0</v>
      </c>
      <c r="J9" s="33">
        <f>COUNTIFS([1]Data!BL$409:'[1]Data'!BL$1211,"&gt;" &amp; Exp!$D8,[1]Data!BL$409:'[1]Data'!BL$1211,"&lt;="&amp; Exp!$D9,[1]Data!$D$409:'[1]Data'!$D$1211,"= 5")</f>
        <v>0</v>
      </c>
      <c r="K9" s="33">
        <f>COUNTIFS([1]Data!BL$409:'[1]Data'!BL$1211,"&gt;" &amp; Exp!$D8,[1]Data!BL$409:'[1]Data'!BL$1211,"&lt;="&amp; Exp!$D9,[1]Data!$D$409:'[1]Data'!$D$1211,"= 6")</f>
        <v>0</v>
      </c>
      <c r="L9" s="33">
        <f>COUNTIFS([1]Data!BL$409:'[1]Data'!BL$1211,"&gt;" &amp; Exp!$D8,[1]Data!BL$409:'[1]Data'!BL$1211,"&lt;="&amp; Exp!$D9,[1]Data!$D$409:'[1]Data'!$D$1211,"= 7")</f>
        <v>0</v>
      </c>
      <c r="M9" s="33">
        <f>COUNTIFS([1]Data!BL$409:'[1]Data'!BL$1211,"&gt;" &amp; Exp!$D8,[1]Data!BL$409:'[1]Data'!BL$1211,"&lt;="&amp; Exp!$D9,[1]Data!$D$409:'[1]Data'!$D$1211,"= 8")</f>
        <v>0</v>
      </c>
      <c r="N9" s="32" t="e">
        <f>IF(N$1=TRUE,$E9/$E$28,"")</f>
        <v>#DIV/0!</v>
      </c>
      <c r="O9" s="32" t="e">
        <f>IF(O$1=TRUE,F9/$E$28,"")</f>
        <v>#DIV/0!</v>
      </c>
      <c r="P9" s="32" t="e">
        <f>IF(P$1=TRUE,G9/$E$28,"")</f>
        <v>#DIV/0!</v>
      </c>
      <c r="Q9" s="32" t="e">
        <f>IF(Q$1=TRUE,H9/$E$28,"")</f>
        <v>#DIV/0!</v>
      </c>
      <c r="R9" s="32" t="e">
        <f>IF(R$1=TRUE,I9/$E$28,"")</f>
        <v>#DIV/0!</v>
      </c>
      <c r="S9" s="32" t="e">
        <f>IF(S$1=TRUE,J9/$E$28,"")</f>
        <v>#DIV/0!</v>
      </c>
      <c r="T9" s="32" t="e">
        <f>IF(T$1=TRUE,K9/$E$28,"")</f>
        <v>#DIV/0!</v>
      </c>
      <c r="U9" s="32" t="e">
        <f>IF(U$1=TRUE,L9/$E$28,"")</f>
        <v>#DIV/0!</v>
      </c>
      <c r="V9" s="31" t="e">
        <f>IF(V$1=TRUE,M9/$E$28,"")</f>
        <v>#DIV/0!</v>
      </c>
    </row>
    <row r="10" spans="1:22" x14ac:dyDescent="0.2">
      <c r="A10" s="26"/>
      <c r="B10" s="24">
        <v>5</v>
      </c>
      <c r="C10" s="24" t="s">
        <v>16</v>
      </c>
      <c r="D10" s="34">
        <f>$D$36+B10*$F$36</f>
        <v>0</v>
      </c>
      <c r="E10" s="33">
        <f>COUNTIFS([1]Data!BL$409:'[1]Data'!BL$1211,"&gt;" &amp; Exp!$D9,[1]Data!BL$409:'[1]Data'!BL$1211,"&lt;="&amp; Exp!$D10)</f>
        <v>0</v>
      </c>
      <c r="F10" s="33">
        <f>COUNTIFS([1]Data!BL$409:'[1]Data'!BL$1211,"&gt;" &amp; Exp!$D9,[1]Data!BL$409:'[1]Data'!BL$1211,"&lt;="&amp; Exp!$D10,[1]Data!$D$409:'[1]Data'!$D$1211,"= 1")</f>
        <v>0</v>
      </c>
      <c r="G10" s="33">
        <f>COUNTIFS([1]Data!BL$409:'[1]Data'!BL$1211,"&gt;" &amp; Exp!$D9,[1]Data!BL$409:'[1]Data'!BL$1211,"&lt;="&amp; Exp!$D10,[1]Data!$D$409:'[1]Data'!$D$1211,"= 2")</f>
        <v>0</v>
      </c>
      <c r="H10" s="33">
        <f>COUNTIFS([1]Data!BL$409:'[1]Data'!BL$1211,"&gt;" &amp; Exp!$D9,[1]Data!BL$409:'[1]Data'!BL$1211,"&lt;="&amp; Exp!$D10,[1]Data!$D$409:'[1]Data'!$D$1211,"= 3")</f>
        <v>0</v>
      </c>
      <c r="I10" s="33">
        <f>COUNTIFS([1]Data!BL$409:'[1]Data'!BL$1211,"&gt;" &amp; Exp!$D9,[1]Data!BL$409:'[1]Data'!BL$1211,"&lt;="&amp; Exp!$D10,[1]Data!$D$409:'[1]Data'!$D$1211,"= 4")</f>
        <v>0</v>
      </c>
      <c r="J10" s="33">
        <f>COUNTIFS([1]Data!BL$409:'[1]Data'!BL$1211,"&gt;" &amp; Exp!$D9,[1]Data!BL$409:'[1]Data'!BL$1211,"&lt;="&amp; Exp!$D10,[1]Data!$D$409:'[1]Data'!$D$1211,"= 5")</f>
        <v>0</v>
      </c>
      <c r="K10" s="33">
        <f>COUNTIFS([1]Data!BL$409:'[1]Data'!BL$1211,"&gt;" &amp; Exp!$D9,[1]Data!BL$409:'[1]Data'!BL$1211,"&lt;="&amp; Exp!$D10,[1]Data!$D$409:'[1]Data'!$D$1211,"= 6")</f>
        <v>0</v>
      </c>
      <c r="L10" s="33">
        <f>COUNTIFS([1]Data!BL$409:'[1]Data'!BL$1211,"&gt;" &amp; Exp!$D9,[1]Data!BL$409:'[1]Data'!BL$1211,"&lt;="&amp; Exp!$D10,[1]Data!$D$409:'[1]Data'!$D$1211,"= 7")</f>
        <v>0</v>
      </c>
      <c r="M10" s="33">
        <f>COUNTIFS([1]Data!BL$409:'[1]Data'!BL$1211,"&gt;" &amp; Exp!$D9,[1]Data!BL$409:'[1]Data'!BL$1211,"&lt;="&amp; Exp!$D10,[1]Data!$D$409:'[1]Data'!$D$1211,"= 8")</f>
        <v>0</v>
      </c>
      <c r="N10" s="32" t="e">
        <f>IF(N$1=TRUE,$E10/$E$28,"")</f>
        <v>#DIV/0!</v>
      </c>
      <c r="O10" s="32" t="e">
        <f>IF(O$1=TRUE,F10/$E$28,"")</f>
        <v>#DIV/0!</v>
      </c>
      <c r="P10" s="32" t="e">
        <f>IF(P$1=TRUE,G10/$E$28,"")</f>
        <v>#DIV/0!</v>
      </c>
      <c r="Q10" s="32" t="e">
        <f>IF(Q$1=TRUE,H10/$E$28,"")</f>
        <v>#DIV/0!</v>
      </c>
      <c r="R10" s="32" t="e">
        <f>IF(R$1=TRUE,I10/$E$28,"")</f>
        <v>#DIV/0!</v>
      </c>
      <c r="S10" s="32" t="e">
        <f>IF(S$1=TRUE,J10/$E$28,"")</f>
        <v>#DIV/0!</v>
      </c>
      <c r="T10" s="32" t="e">
        <f>IF(T$1=TRUE,K10/$E$28,"")</f>
        <v>#DIV/0!</v>
      </c>
      <c r="U10" s="32" t="e">
        <f>IF(U$1=TRUE,L10/$E$28,"")</f>
        <v>#DIV/0!</v>
      </c>
      <c r="V10" s="31" t="e">
        <f>IF(V$1=TRUE,M10/$E$28,"")</f>
        <v>#DIV/0!</v>
      </c>
    </row>
    <row r="11" spans="1:22" x14ac:dyDescent="0.2">
      <c r="A11" s="26"/>
      <c r="B11" s="24">
        <v>6</v>
      </c>
      <c r="C11" s="24" t="s">
        <v>16</v>
      </c>
      <c r="D11" s="34">
        <f>$D$36+B11*$F$36</f>
        <v>0</v>
      </c>
      <c r="E11" s="33">
        <f>COUNTIFS([1]Data!BL$409:'[1]Data'!BL$1211,"&gt;" &amp; Exp!$D10,[1]Data!BL$409:'[1]Data'!BL$1211,"&lt;="&amp; Exp!$D11)</f>
        <v>0</v>
      </c>
      <c r="F11" s="33">
        <f>COUNTIFS([1]Data!BL$409:'[1]Data'!BL$1211,"&gt;" &amp; Exp!$D10,[1]Data!BL$409:'[1]Data'!BL$1211,"&lt;="&amp; Exp!$D11,[1]Data!$D$409:'[1]Data'!$D$1211,"= 1")</f>
        <v>0</v>
      </c>
      <c r="G11" s="33">
        <f>COUNTIFS([1]Data!BL$409:'[1]Data'!BL$1211,"&gt;" &amp; Exp!$D10,[1]Data!BL$409:'[1]Data'!BL$1211,"&lt;="&amp; Exp!$D11,[1]Data!$D$409:'[1]Data'!$D$1211,"= 2")</f>
        <v>0</v>
      </c>
      <c r="H11" s="33">
        <f>COUNTIFS([1]Data!BL$409:'[1]Data'!BL$1211,"&gt;" &amp; Exp!$D10,[1]Data!BL$409:'[1]Data'!BL$1211,"&lt;="&amp; Exp!$D11,[1]Data!$D$409:'[1]Data'!$D$1211,"= 3")</f>
        <v>0</v>
      </c>
      <c r="I11" s="33">
        <f>COUNTIFS([1]Data!BL$409:'[1]Data'!BL$1211,"&gt;" &amp; Exp!$D10,[1]Data!BL$409:'[1]Data'!BL$1211,"&lt;="&amp; Exp!$D11,[1]Data!$D$409:'[1]Data'!$D$1211,"= 4")</f>
        <v>0</v>
      </c>
      <c r="J11" s="33">
        <f>COUNTIFS([1]Data!BL$409:'[1]Data'!BL$1211,"&gt;" &amp; Exp!$D10,[1]Data!BL$409:'[1]Data'!BL$1211,"&lt;="&amp; Exp!$D11,[1]Data!$D$409:'[1]Data'!$D$1211,"= 5")</f>
        <v>0</v>
      </c>
      <c r="K11" s="33">
        <f>COUNTIFS([1]Data!BL$409:'[1]Data'!BL$1211,"&gt;" &amp; Exp!$D10,[1]Data!BL$409:'[1]Data'!BL$1211,"&lt;="&amp; Exp!$D11,[1]Data!$D$409:'[1]Data'!$D$1211,"= 6")</f>
        <v>0</v>
      </c>
      <c r="L11" s="33">
        <f>COUNTIFS([1]Data!BL$409:'[1]Data'!BL$1211,"&gt;" &amp; Exp!$D10,[1]Data!BL$409:'[1]Data'!BL$1211,"&lt;="&amp; Exp!$D11,[1]Data!$D$409:'[1]Data'!$D$1211,"= 7")</f>
        <v>0</v>
      </c>
      <c r="M11" s="33">
        <f>COUNTIFS([1]Data!BL$409:'[1]Data'!BL$1211,"&gt;" &amp; Exp!$D10,[1]Data!BL$409:'[1]Data'!BL$1211,"&lt;="&amp; Exp!$D11,[1]Data!$D$409:'[1]Data'!$D$1211,"= 8")</f>
        <v>0</v>
      </c>
      <c r="N11" s="32" t="e">
        <f>IF(N$1=TRUE,$E11/$E$28,"")</f>
        <v>#DIV/0!</v>
      </c>
      <c r="O11" s="32" t="e">
        <f>IF(O$1=TRUE,F11/$E$28,"")</f>
        <v>#DIV/0!</v>
      </c>
      <c r="P11" s="32" t="e">
        <f>IF(P$1=TRUE,G11/$E$28,"")</f>
        <v>#DIV/0!</v>
      </c>
      <c r="Q11" s="32" t="e">
        <f>IF(Q$1=TRUE,H11/$E$28,"")</f>
        <v>#DIV/0!</v>
      </c>
      <c r="R11" s="32" t="e">
        <f>IF(R$1=TRUE,I11/$E$28,"")</f>
        <v>#DIV/0!</v>
      </c>
      <c r="S11" s="32" t="e">
        <f>IF(S$1=TRUE,J11/$E$28,"")</f>
        <v>#DIV/0!</v>
      </c>
      <c r="T11" s="32" t="e">
        <f>IF(T$1=TRUE,K11/$E$28,"")</f>
        <v>#DIV/0!</v>
      </c>
      <c r="U11" s="32" t="e">
        <f>IF(U$1=TRUE,L11/$E$28,"")</f>
        <v>#DIV/0!</v>
      </c>
      <c r="V11" s="31" t="e">
        <f>IF(V$1=TRUE,M11/$E$28,"")</f>
        <v>#DIV/0!</v>
      </c>
    </row>
    <row r="12" spans="1:22" x14ac:dyDescent="0.2">
      <c r="A12" s="26"/>
      <c r="B12" s="24">
        <v>7</v>
      </c>
      <c r="C12" s="24" t="s">
        <v>16</v>
      </c>
      <c r="D12" s="34">
        <f>$D$36+B12*$F$36</f>
        <v>0</v>
      </c>
      <c r="E12" s="33">
        <f>COUNTIFS([1]Data!BL$409:'[1]Data'!BL$1211,"&gt;" &amp; Exp!$D11,[1]Data!BL$409:'[1]Data'!BL$1211,"&lt;="&amp; Exp!$D12)</f>
        <v>0</v>
      </c>
      <c r="F12" s="33">
        <f>COUNTIFS([1]Data!BL$409:'[1]Data'!BL$1211,"&gt;" &amp; Exp!$D11,[1]Data!BL$409:'[1]Data'!BL$1211,"&lt;="&amp; Exp!$D12,[1]Data!$D$409:'[1]Data'!$D$1211,"= 1")</f>
        <v>0</v>
      </c>
      <c r="G12" s="33">
        <f>COUNTIFS([1]Data!BL$409:'[1]Data'!BL$1211,"&gt;" &amp; Exp!$D11,[1]Data!BL$409:'[1]Data'!BL$1211,"&lt;="&amp; Exp!$D12,[1]Data!$D$409:'[1]Data'!$D$1211,"= 2")</f>
        <v>0</v>
      </c>
      <c r="H12" s="33">
        <f>COUNTIFS([1]Data!BL$409:'[1]Data'!BL$1211,"&gt;" &amp; Exp!$D11,[1]Data!BL$409:'[1]Data'!BL$1211,"&lt;="&amp; Exp!$D12,[1]Data!$D$409:'[1]Data'!$D$1211,"= 3")</f>
        <v>0</v>
      </c>
      <c r="I12" s="33">
        <f>COUNTIFS([1]Data!BL$409:'[1]Data'!BL$1211,"&gt;" &amp; Exp!$D11,[1]Data!BL$409:'[1]Data'!BL$1211,"&lt;="&amp; Exp!$D12,[1]Data!$D$409:'[1]Data'!$D$1211,"= 4")</f>
        <v>0</v>
      </c>
      <c r="J12" s="33">
        <f>COUNTIFS([1]Data!BL$409:'[1]Data'!BL$1211,"&gt;" &amp; Exp!$D11,[1]Data!BL$409:'[1]Data'!BL$1211,"&lt;="&amp; Exp!$D12,[1]Data!$D$409:'[1]Data'!$D$1211,"= 5")</f>
        <v>0</v>
      </c>
      <c r="K12" s="33">
        <f>COUNTIFS([1]Data!BL$409:'[1]Data'!BL$1211,"&gt;" &amp; Exp!$D11,[1]Data!BL$409:'[1]Data'!BL$1211,"&lt;="&amp; Exp!$D12,[1]Data!$D$409:'[1]Data'!$D$1211,"= 6")</f>
        <v>0</v>
      </c>
      <c r="L12" s="33">
        <f>COUNTIFS([1]Data!BL$409:'[1]Data'!BL$1211,"&gt;" &amp; Exp!$D11,[1]Data!BL$409:'[1]Data'!BL$1211,"&lt;="&amp; Exp!$D12,[1]Data!$D$409:'[1]Data'!$D$1211,"= 7")</f>
        <v>0</v>
      </c>
      <c r="M12" s="33">
        <f>COUNTIFS([1]Data!BL$409:'[1]Data'!BL$1211,"&gt;" &amp; Exp!$D11,[1]Data!BL$409:'[1]Data'!BL$1211,"&lt;="&amp; Exp!$D12,[1]Data!$D$409:'[1]Data'!$D$1211,"= 8")</f>
        <v>0</v>
      </c>
      <c r="N12" s="32" t="e">
        <f>IF(N$1=TRUE,$E12/$E$28,"")</f>
        <v>#DIV/0!</v>
      </c>
      <c r="O12" s="32" t="e">
        <f>IF(O$1=TRUE,F12/$E$28,"")</f>
        <v>#DIV/0!</v>
      </c>
      <c r="P12" s="32" t="e">
        <f>IF(P$1=TRUE,G12/$E$28,"")</f>
        <v>#DIV/0!</v>
      </c>
      <c r="Q12" s="32" t="e">
        <f>IF(Q$1=TRUE,H12/$E$28,"")</f>
        <v>#DIV/0!</v>
      </c>
      <c r="R12" s="32" t="e">
        <f>IF(R$1=TRUE,I12/$E$28,"")</f>
        <v>#DIV/0!</v>
      </c>
      <c r="S12" s="32" t="e">
        <f>IF(S$1=TRUE,J12/$E$28,"")</f>
        <v>#DIV/0!</v>
      </c>
      <c r="T12" s="32" t="e">
        <f>IF(T$1=TRUE,K12/$E$28,"")</f>
        <v>#DIV/0!</v>
      </c>
      <c r="U12" s="32" t="e">
        <f>IF(U$1=TRUE,L12/$E$28,"")</f>
        <v>#DIV/0!</v>
      </c>
      <c r="V12" s="31" t="e">
        <f>IF(V$1=TRUE,M12/$E$28,"")</f>
        <v>#DIV/0!</v>
      </c>
    </row>
    <row r="13" spans="1:22" x14ac:dyDescent="0.2">
      <c r="A13" s="26"/>
      <c r="B13" s="24">
        <v>8</v>
      </c>
      <c r="C13" s="24" t="s">
        <v>16</v>
      </c>
      <c r="D13" s="34">
        <f>$D$36+B13*$F$36</f>
        <v>0</v>
      </c>
      <c r="E13" s="33">
        <f>COUNTIFS([1]Data!BL$409:'[1]Data'!BL$1211,"&gt;" &amp; Exp!$D12,[1]Data!BL$409:'[1]Data'!BL$1211,"&lt;="&amp; Exp!$D13)</f>
        <v>0</v>
      </c>
      <c r="F13" s="33">
        <f>COUNTIFS([1]Data!BL$409:'[1]Data'!BL$1211,"&gt;" &amp; Exp!$D12,[1]Data!BL$409:'[1]Data'!BL$1211,"&lt;="&amp; Exp!$D13,[1]Data!$D$409:'[1]Data'!$D$1211,"= 1")</f>
        <v>0</v>
      </c>
      <c r="G13" s="33">
        <f>COUNTIFS([1]Data!BL$409:'[1]Data'!BL$1211,"&gt;" &amp; Exp!$D12,[1]Data!BL$409:'[1]Data'!BL$1211,"&lt;="&amp; Exp!$D13,[1]Data!$D$409:'[1]Data'!$D$1211,"= 2")</f>
        <v>0</v>
      </c>
      <c r="H13" s="33">
        <f>COUNTIFS([1]Data!BL$409:'[1]Data'!BL$1211,"&gt;" &amp; Exp!$D12,[1]Data!BL$409:'[1]Data'!BL$1211,"&lt;="&amp; Exp!$D13,[1]Data!$D$409:'[1]Data'!$D$1211,"= 3")</f>
        <v>0</v>
      </c>
      <c r="I13" s="33">
        <f>COUNTIFS([1]Data!BL$409:'[1]Data'!BL$1211,"&gt;" &amp; Exp!$D12,[1]Data!BL$409:'[1]Data'!BL$1211,"&lt;="&amp; Exp!$D13,[1]Data!$D$409:'[1]Data'!$D$1211,"= 4")</f>
        <v>0</v>
      </c>
      <c r="J13" s="33">
        <f>COUNTIFS([1]Data!BL$409:'[1]Data'!BL$1211,"&gt;" &amp; Exp!$D12,[1]Data!BL$409:'[1]Data'!BL$1211,"&lt;="&amp; Exp!$D13,[1]Data!$D$409:'[1]Data'!$D$1211,"= 5")</f>
        <v>0</v>
      </c>
      <c r="K13" s="33">
        <f>COUNTIFS([1]Data!BL$409:'[1]Data'!BL$1211,"&gt;" &amp; Exp!$D12,[1]Data!BL$409:'[1]Data'!BL$1211,"&lt;="&amp; Exp!$D13,[1]Data!$D$409:'[1]Data'!$D$1211,"= 6")</f>
        <v>0</v>
      </c>
      <c r="L13" s="33">
        <f>COUNTIFS([1]Data!BL$409:'[1]Data'!BL$1211,"&gt;" &amp; Exp!$D12,[1]Data!BL$409:'[1]Data'!BL$1211,"&lt;="&amp; Exp!$D13,[1]Data!$D$409:'[1]Data'!$D$1211,"= 7")</f>
        <v>0</v>
      </c>
      <c r="M13" s="33">
        <f>COUNTIFS([1]Data!BL$409:'[1]Data'!BL$1211,"&gt;" &amp; Exp!$D12,[1]Data!BL$409:'[1]Data'!BL$1211,"&lt;="&amp; Exp!$D13,[1]Data!$D$409:'[1]Data'!$D$1211,"= 8")</f>
        <v>0</v>
      </c>
      <c r="N13" s="32" t="e">
        <f>IF(N$1=TRUE,$E13/$E$28,"")</f>
        <v>#DIV/0!</v>
      </c>
      <c r="O13" s="32" t="e">
        <f>IF(O$1=TRUE,F13/$E$28,"")</f>
        <v>#DIV/0!</v>
      </c>
      <c r="P13" s="32" t="e">
        <f>IF(P$1=TRUE,G13/$E$28,"")</f>
        <v>#DIV/0!</v>
      </c>
      <c r="Q13" s="32" t="e">
        <f>IF(Q$1=TRUE,H13/$E$28,"")</f>
        <v>#DIV/0!</v>
      </c>
      <c r="R13" s="32" t="e">
        <f>IF(R$1=TRUE,I13/$E$28,"")</f>
        <v>#DIV/0!</v>
      </c>
      <c r="S13" s="32" t="e">
        <f>IF(S$1=TRUE,J13/$E$28,"")</f>
        <v>#DIV/0!</v>
      </c>
      <c r="T13" s="32" t="e">
        <f>IF(T$1=TRUE,K13/$E$28,"")</f>
        <v>#DIV/0!</v>
      </c>
      <c r="U13" s="32" t="e">
        <f>IF(U$1=TRUE,L13/$E$28,"")</f>
        <v>#DIV/0!</v>
      </c>
      <c r="V13" s="31" t="e">
        <f>IF(V$1=TRUE,M13/$E$28,"")</f>
        <v>#DIV/0!</v>
      </c>
    </row>
    <row r="14" spans="1:22" x14ac:dyDescent="0.2">
      <c r="A14" s="26"/>
      <c r="B14" s="24">
        <v>9</v>
      </c>
      <c r="C14" s="24" t="s">
        <v>16</v>
      </c>
      <c r="D14" s="34">
        <f>$D$36+B14*$F$36</f>
        <v>0</v>
      </c>
      <c r="E14" s="33">
        <f>COUNTIFS([1]Data!BL$409:'[1]Data'!BL$1211,"&gt;" &amp; Exp!$D13,[1]Data!BL$409:'[1]Data'!BL$1211,"&lt;="&amp; Exp!$D14)</f>
        <v>0</v>
      </c>
      <c r="F14" s="33">
        <f>COUNTIFS([1]Data!BL$409:'[1]Data'!BL$1211,"&gt;" &amp; Exp!$D13,[1]Data!BL$409:'[1]Data'!BL$1211,"&lt;="&amp; Exp!$D14,[1]Data!$D$409:'[1]Data'!$D$1211,"= 1")</f>
        <v>0</v>
      </c>
      <c r="G14" s="33">
        <f>COUNTIFS([1]Data!BL$409:'[1]Data'!BL$1211,"&gt;" &amp; Exp!$D13,[1]Data!BL$409:'[1]Data'!BL$1211,"&lt;="&amp; Exp!$D14,[1]Data!$D$409:'[1]Data'!$D$1211,"= 2")</f>
        <v>0</v>
      </c>
      <c r="H14" s="33">
        <f>COUNTIFS([1]Data!BL$409:'[1]Data'!BL$1211,"&gt;" &amp; Exp!$D13,[1]Data!BL$409:'[1]Data'!BL$1211,"&lt;="&amp; Exp!$D14,[1]Data!$D$409:'[1]Data'!$D$1211,"= 3")</f>
        <v>0</v>
      </c>
      <c r="I14" s="33">
        <f>COUNTIFS([1]Data!BL$409:'[1]Data'!BL$1211,"&gt;" &amp; Exp!$D13,[1]Data!BL$409:'[1]Data'!BL$1211,"&lt;="&amp; Exp!$D14,[1]Data!$D$409:'[1]Data'!$D$1211,"= 4")</f>
        <v>0</v>
      </c>
      <c r="J14" s="33">
        <f>COUNTIFS([1]Data!BL$409:'[1]Data'!BL$1211,"&gt;" &amp; Exp!$D13,[1]Data!BL$409:'[1]Data'!BL$1211,"&lt;="&amp; Exp!$D14,[1]Data!$D$409:'[1]Data'!$D$1211,"= 5")</f>
        <v>0</v>
      </c>
      <c r="K14" s="33">
        <f>COUNTIFS([1]Data!BL$409:'[1]Data'!BL$1211,"&gt;" &amp; Exp!$D13,[1]Data!BL$409:'[1]Data'!BL$1211,"&lt;="&amp; Exp!$D14,[1]Data!$D$409:'[1]Data'!$D$1211,"= 6")</f>
        <v>0</v>
      </c>
      <c r="L14" s="33">
        <f>COUNTIFS([1]Data!BL$409:'[1]Data'!BL$1211,"&gt;" &amp; Exp!$D13,[1]Data!BL$409:'[1]Data'!BL$1211,"&lt;="&amp; Exp!$D14,[1]Data!$D$409:'[1]Data'!$D$1211,"= 7")</f>
        <v>0</v>
      </c>
      <c r="M14" s="33">
        <f>COUNTIFS([1]Data!BL$409:'[1]Data'!BL$1211,"&gt;" &amp; Exp!$D13,[1]Data!BL$409:'[1]Data'!BL$1211,"&lt;="&amp; Exp!$D14,[1]Data!$D$409:'[1]Data'!$D$1211,"= 8")</f>
        <v>0</v>
      </c>
      <c r="N14" s="32" t="e">
        <f>IF(N$1=TRUE,$E14/$E$28,"")</f>
        <v>#DIV/0!</v>
      </c>
      <c r="O14" s="32" t="e">
        <f>IF(O$1=TRUE,F14/$E$28,"")</f>
        <v>#DIV/0!</v>
      </c>
      <c r="P14" s="32" t="e">
        <f>IF(P$1=TRUE,G14/$E$28,"")</f>
        <v>#DIV/0!</v>
      </c>
      <c r="Q14" s="32" t="e">
        <f>IF(Q$1=TRUE,H14/$E$28,"")</f>
        <v>#DIV/0!</v>
      </c>
      <c r="R14" s="32" t="e">
        <f>IF(R$1=TRUE,I14/$E$28,"")</f>
        <v>#DIV/0!</v>
      </c>
      <c r="S14" s="32" t="e">
        <f>IF(S$1=TRUE,J14/$E$28,"")</f>
        <v>#DIV/0!</v>
      </c>
      <c r="T14" s="32" t="e">
        <f>IF(T$1=TRUE,K14/$E$28,"")</f>
        <v>#DIV/0!</v>
      </c>
      <c r="U14" s="32" t="e">
        <f>IF(U$1=TRUE,L14/$E$28,"")</f>
        <v>#DIV/0!</v>
      </c>
      <c r="V14" s="31" t="e">
        <f>IF(V$1=TRUE,M14/$E$28,"")</f>
        <v>#DIV/0!</v>
      </c>
    </row>
    <row r="15" spans="1:22" x14ac:dyDescent="0.2">
      <c r="A15" s="26"/>
      <c r="B15" s="24">
        <v>10</v>
      </c>
      <c r="C15" s="24" t="s">
        <v>16</v>
      </c>
      <c r="D15" s="34">
        <f>$D$36+B15*$F$36</f>
        <v>0</v>
      </c>
      <c r="E15" s="33">
        <f>COUNTIFS([1]Data!BL$409:'[1]Data'!BL$1211,"&gt;" &amp; Exp!$D14,[1]Data!BL$409:'[1]Data'!BL$1211,"&lt;="&amp; Exp!$D15)</f>
        <v>0</v>
      </c>
      <c r="F15" s="33">
        <f>COUNTIFS([1]Data!BL$409:'[1]Data'!BL$1211,"&gt;" &amp; Exp!$D14,[1]Data!BL$409:'[1]Data'!BL$1211,"&lt;="&amp; Exp!$D15,[1]Data!$D$409:'[1]Data'!$D$1211,"= 1")</f>
        <v>0</v>
      </c>
      <c r="G15" s="33">
        <f>COUNTIFS([1]Data!BL$409:'[1]Data'!BL$1211,"&gt;" &amp; Exp!$D14,[1]Data!BL$409:'[1]Data'!BL$1211,"&lt;="&amp; Exp!$D15,[1]Data!$D$409:'[1]Data'!$D$1211,"= 2")</f>
        <v>0</v>
      </c>
      <c r="H15" s="33">
        <f>COUNTIFS([1]Data!BL$409:'[1]Data'!BL$1211,"&gt;" &amp; Exp!$D14,[1]Data!BL$409:'[1]Data'!BL$1211,"&lt;="&amp; Exp!$D15,[1]Data!$D$409:'[1]Data'!$D$1211,"= 3")</f>
        <v>0</v>
      </c>
      <c r="I15" s="33">
        <f>COUNTIFS([1]Data!BL$409:'[1]Data'!BL$1211,"&gt;" &amp; Exp!$D14,[1]Data!BL$409:'[1]Data'!BL$1211,"&lt;="&amp; Exp!$D15,[1]Data!$D$409:'[1]Data'!$D$1211,"= 4")</f>
        <v>0</v>
      </c>
      <c r="J15" s="33">
        <f>COUNTIFS([1]Data!BL$409:'[1]Data'!BL$1211,"&gt;" &amp; Exp!$D14,[1]Data!BL$409:'[1]Data'!BL$1211,"&lt;="&amp; Exp!$D15,[1]Data!$D$409:'[1]Data'!$D$1211,"= 5")</f>
        <v>0</v>
      </c>
      <c r="K15" s="33">
        <f>COUNTIFS([1]Data!BL$409:'[1]Data'!BL$1211,"&gt;" &amp; Exp!$D14,[1]Data!BL$409:'[1]Data'!BL$1211,"&lt;="&amp; Exp!$D15,[1]Data!$D$409:'[1]Data'!$D$1211,"= 6")</f>
        <v>0</v>
      </c>
      <c r="L15" s="33">
        <f>COUNTIFS([1]Data!BL$409:'[1]Data'!BL$1211,"&gt;" &amp; Exp!$D14,[1]Data!BL$409:'[1]Data'!BL$1211,"&lt;="&amp; Exp!$D15,[1]Data!$D$409:'[1]Data'!$D$1211,"= 7")</f>
        <v>0</v>
      </c>
      <c r="M15" s="33">
        <f>COUNTIFS([1]Data!BL$409:'[1]Data'!BL$1211,"&gt;" &amp; Exp!$D14,[1]Data!BL$409:'[1]Data'!BL$1211,"&lt;="&amp; Exp!$D15,[1]Data!$D$409:'[1]Data'!$D$1211,"= 8")</f>
        <v>0</v>
      </c>
      <c r="N15" s="32" t="e">
        <f>IF(N$1=TRUE,$E15/$E$28,"")</f>
        <v>#DIV/0!</v>
      </c>
      <c r="O15" s="32" t="e">
        <f>IF(O$1=TRUE,F15/$E$28,"")</f>
        <v>#DIV/0!</v>
      </c>
      <c r="P15" s="32" t="e">
        <f>IF(P$1=TRUE,G15/$E$28,"")</f>
        <v>#DIV/0!</v>
      </c>
      <c r="Q15" s="32" t="e">
        <f>IF(Q$1=TRUE,H15/$E$28,"")</f>
        <v>#DIV/0!</v>
      </c>
      <c r="R15" s="32" t="e">
        <f>IF(R$1=TRUE,I15/$E$28,"")</f>
        <v>#DIV/0!</v>
      </c>
      <c r="S15" s="32" t="e">
        <f>IF(S$1=TRUE,J15/$E$28,"")</f>
        <v>#DIV/0!</v>
      </c>
      <c r="T15" s="32" t="e">
        <f>IF(T$1=TRUE,K15/$E$28,"")</f>
        <v>#DIV/0!</v>
      </c>
      <c r="U15" s="32" t="e">
        <f>IF(U$1=TRUE,L15/$E$28,"")</f>
        <v>#DIV/0!</v>
      </c>
      <c r="V15" s="31" t="e">
        <f>IF(V$1=TRUE,M15/$E$28,"")</f>
        <v>#DIV/0!</v>
      </c>
    </row>
    <row r="16" spans="1:22" x14ac:dyDescent="0.2">
      <c r="A16" s="26"/>
      <c r="B16" s="24">
        <v>11</v>
      </c>
      <c r="C16" s="24" t="s">
        <v>16</v>
      </c>
      <c r="D16" s="34">
        <f>$D$36+B16*$F$36</f>
        <v>0</v>
      </c>
      <c r="E16" s="33">
        <f>COUNTIFS([1]Data!BL$409:'[1]Data'!BL$1211,"&gt;" &amp; Exp!$D15,[1]Data!BL$409:'[1]Data'!BL$1211,"&lt;="&amp; Exp!$D16)</f>
        <v>0</v>
      </c>
      <c r="F16" s="33">
        <f>COUNTIFS([1]Data!BL$409:'[1]Data'!BL$1211,"&gt;" &amp; Exp!$D15,[1]Data!BL$409:'[1]Data'!BL$1211,"&lt;="&amp; Exp!$D16,[1]Data!$D$409:'[1]Data'!$D$1211,"= 1")</f>
        <v>0</v>
      </c>
      <c r="G16" s="33">
        <f>COUNTIFS([1]Data!BL$409:'[1]Data'!BL$1211,"&gt;" &amp; Exp!$D15,[1]Data!BL$409:'[1]Data'!BL$1211,"&lt;="&amp; Exp!$D16,[1]Data!$D$409:'[1]Data'!$D$1211,"= 2")</f>
        <v>0</v>
      </c>
      <c r="H16" s="33">
        <f>COUNTIFS([1]Data!BL$409:'[1]Data'!BL$1211,"&gt;" &amp; Exp!$D15,[1]Data!BL$409:'[1]Data'!BL$1211,"&lt;="&amp; Exp!$D16,[1]Data!$D$409:'[1]Data'!$D$1211,"= 3")</f>
        <v>0</v>
      </c>
      <c r="I16" s="33">
        <f>COUNTIFS([1]Data!BL$409:'[1]Data'!BL$1211,"&gt;" &amp; Exp!$D15,[1]Data!BL$409:'[1]Data'!BL$1211,"&lt;="&amp; Exp!$D16,[1]Data!$D$409:'[1]Data'!$D$1211,"= 4")</f>
        <v>0</v>
      </c>
      <c r="J16" s="33">
        <f>COUNTIFS([1]Data!BL$409:'[1]Data'!BL$1211,"&gt;" &amp; Exp!$D15,[1]Data!BL$409:'[1]Data'!BL$1211,"&lt;="&amp; Exp!$D16,[1]Data!$D$409:'[1]Data'!$D$1211,"= 5")</f>
        <v>0</v>
      </c>
      <c r="K16" s="33">
        <f>COUNTIFS([1]Data!BL$409:'[1]Data'!BL$1211,"&gt;" &amp; Exp!$D15,[1]Data!BL$409:'[1]Data'!BL$1211,"&lt;="&amp; Exp!$D16,[1]Data!$D$409:'[1]Data'!$D$1211,"= 6")</f>
        <v>0</v>
      </c>
      <c r="L16" s="33">
        <f>COUNTIFS([1]Data!BL$409:'[1]Data'!BL$1211,"&gt;" &amp; Exp!$D15,[1]Data!BL$409:'[1]Data'!BL$1211,"&lt;="&amp; Exp!$D16,[1]Data!$D$409:'[1]Data'!$D$1211,"= 7")</f>
        <v>0</v>
      </c>
      <c r="M16" s="33">
        <f>COUNTIFS([1]Data!BL$409:'[1]Data'!BL$1211,"&gt;" &amp; Exp!$D15,[1]Data!BL$409:'[1]Data'!BL$1211,"&lt;="&amp; Exp!$D16,[1]Data!$D$409:'[1]Data'!$D$1211,"= 8")</f>
        <v>0</v>
      </c>
      <c r="N16" s="32" t="e">
        <f>IF(N$1=TRUE,$E16/$E$28,"")</f>
        <v>#DIV/0!</v>
      </c>
      <c r="O16" s="32" t="e">
        <f>IF(O$1=TRUE,F16/$E$28,"")</f>
        <v>#DIV/0!</v>
      </c>
      <c r="P16" s="32" t="e">
        <f>IF(P$1=TRUE,G16/$E$28,"")</f>
        <v>#DIV/0!</v>
      </c>
      <c r="Q16" s="32" t="e">
        <f>IF(Q$1=TRUE,H16/$E$28,"")</f>
        <v>#DIV/0!</v>
      </c>
      <c r="R16" s="32" t="e">
        <f>IF(R$1=TRUE,I16/$E$28,"")</f>
        <v>#DIV/0!</v>
      </c>
      <c r="S16" s="32" t="e">
        <f>IF(S$1=TRUE,J16/$E$28,"")</f>
        <v>#DIV/0!</v>
      </c>
      <c r="T16" s="32" t="e">
        <f>IF(T$1=TRUE,K16/$E$28,"")</f>
        <v>#DIV/0!</v>
      </c>
      <c r="U16" s="32" t="e">
        <f>IF(U$1=TRUE,L16/$E$28,"")</f>
        <v>#DIV/0!</v>
      </c>
      <c r="V16" s="31" t="e">
        <f>IF(V$1=TRUE,M16/$E$28,"")</f>
        <v>#DIV/0!</v>
      </c>
    </row>
    <row r="17" spans="1:22" x14ac:dyDescent="0.2">
      <c r="A17" s="26"/>
      <c r="B17" s="24">
        <v>12</v>
      </c>
      <c r="C17" s="24" t="s">
        <v>16</v>
      </c>
      <c r="D17" s="34">
        <f>$D$36+B17*$F$36</f>
        <v>0</v>
      </c>
      <c r="E17" s="33">
        <f>COUNTIFS([1]Data!BL$409:'[1]Data'!BL$1211,"&gt;" &amp; Exp!$D16,[1]Data!BL$409:'[1]Data'!BL$1211,"&lt;="&amp; Exp!$D17)</f>
        <v>0</v>
      </c>
      <c r="F17" s="33">
        <f>COUNTIFS([1]Data!BL$409:'[1]Data'!BL$1211,"&gt;" &amp; Exp!$D16,[1]Data!BL$409:'[1]Data'!BL$1211,"&lt;="&amp; Exp!$D17,[1]Data!$D$409:'[1]Data'!$D$1211,"= 1")</f>
        <v>0</v>
      </c>
      <c r="G17" s="33">
        <f>COUNTIFS([1]Data!BL$409:'[1]Data'!BL$1211,"&gt;" &amp; Exp!$D16,[1]Data!BL$409:'[1]Data'!BL$1211,"&lt;="&amp; Exp!$D17,[1]Data!$D$409:'[1]Data'!$D$1211,"= 2")</f>
        <v>0</v>
      </c>
      <c r="H17" s="33">
        <f>COUNTIFS([1]Data!BL$409:'[1]Data'!BL$1211,"&gt;" &amp; Exp!$D16,[1]Data!BL$409:'[1]Data'!BL$1211,"&lt;="&amp; Exp!$D17,[1]Data!$D$409:'[1]Data'!$D$1211,"= 3")</f>
        <v>0</v>
      </c>
      <c r="I17" s="33">
        <f>COUNTIFS([1]Data!BL$409:'[1]Data'!BL$1211,"&gt;" &amp; Exp!$D16,[1]Data!BL$409:'[1]Data'!BL$1211,"&lt;="&amp; Exp!$D17,[1]Data!$D$409:'[1]Data'!$D$1211,"= 4")</f>
        <v>0</v>
      </c>
      <c r="J17" s="33">
        <f>COUNTIFS([1]Data!BL$409:'[1]Data'!BL$1211,"&gt;" &amp; Exp!$D16,[1]Data!BL$409:'[1]Data'!BL$1211,"&lt;="&amp; Exp!$D17,[1]Data!$D$409:'[1]Data'!$D$1211,"= 5")</f>
        <v>0</v>
      </c>
      <c r="K17" s="33">
        <f>COUNTIFS([1]Data!BL$409:'[1]Data'!BL$1211,"&gt;" &amp; Exp!$D16,[1]Data!BL$409:'[1]Data'!BL$1211,"&lt;="&amp; Exp!$D17,[1]Data!$D$409:'[1]Data'!$D$1211,"= 6")</f>
        <v>0</v>
      </c>
      <c r="L17" s="33">
        <f>COUNTIFS([1]Data!BL$409:'[1]Data'!BL$1211,"&gt;" &amp; Exp!$D16,[1]Data!BL$409:'[1]Data'!BL$1211,"&lt;="&amp; Exp!$D17,[1]Data!$D$409:'[1]Data'!$D$1211,"= 7")</f>
        <v>0</v>
      </c>
      <c r="M17" s="33">
        <f>COUNTIFS([1]Data!BL$409:'[1]Data'!BL$1211,"&gt;" &amp; Exp!$D16,[1]Data!BL$409:'[1]Data'!BL$1211,"&lt;="&amp; Exp!$D17,[1]Data!$D$409:'[1]Data'!$D$1211,"= 8")</f>
        <v>0</v>
      </c>
      <c r="N17" s="32" t="e">
        <f>IF(N$1=TRUE,$E17/$E$28,"")</f>
        <v>#DIV/0!</v>
      </c>
      <c r="O17" s="32" t="e">
        <f>IF(O$1=TRUE,F17/$E$28,"")</f>
        <v>#DIV/0!</v>
      </c>
      <c r="P17" s="32" t="e">
        <f>IF(P$1=TRUE,G17/$E$28,"")</f>
        <v>#DIV/0!</v>
      </c>
      <c r="Q17" s="32" t="e">
        <f>IF(Q$1=TRUE,H17/$E$28,"")</f>
        <v>#DIV/0!</v>
      </c>
      <c r="R17" s="32" t="e">
        <f>IF(R$1=TRUE,I17/$E$28,"")</f>
        <v>#DIV/0!</v>
      </c>
      <c r="S17" s="32" t="e">
        <f>IF(S$1=TRUE,J17/$E$28,"")</f>
        <v>#DIV/0!</v>
      </c>
      <c r="T17" s="32" t="e">
        <f>IF(T$1=TRUE,K17/$E$28,"")</f>
        <v>#DIV/0!</v>
      </c>
      <c r="U17" s="32" t="e">
        <f>IF(U$1=TRUE,L17/$E$28,"")</f>
        <v>#DIV/0!</v>
      </c>
      <c r="V17" s="31" t="e">
        <f>IF(V$1=TRUE,M17/$E$28,"")</f>
        <v>#DIV/0!</v>
      </c>
    </row>
    <row r="18" spans="1:22" x14ac:dyDescent="0.2">
      <c r="A18" s="26"/>
      <c r="B18" s="24">
        <v>13</v>
      </c>
      <c r="C18" s="24" t="s">
        <v>16</v>
      </c>
      <c r="D18" s="34">
        <f>$D$36+B18*$F$36</f>
        <v>0</v>
      </c>
      <c r="E18" s="33">
        <f>COUNTIFS([1]Data!BL$409:'[1]Data'!BL$1211,"&gt;" &amp; Exp!$D17,[1]Data!BL$409:'[1]Data'!BL$1211,"&lt;="&amp; Exp!$D18)</f>
        <v>0</v>
      </c>
      <c r="F18" s="33">
        <f>COUNTIFS([1]Data!BL$409:'[1]Data'!BL$1211,"&gt;" &amp; Exp!$D17,[1]Data!BL$409:'[1]Data'!BL$1211,"&lt;="&amp; Exp!$D18,[1]Data!$D$409:'[1]Data'!$D$1211,"= 1")</f>
        <v>0</v>
      </c>
      <c r="G18" s="33">
        <f>COUNTIFS([1]Data!BL$409:'[1]Data'!BL$1211,"&gt;" &amp; Exp!$D17,[1]Data!BL$409:'[1]Data'!BL$1211,"&lt;="&amp; Exp!$D18,[1]Data!$D$409:'[1]Data'!$D$1211,"= 2")</f>
        <v>0</v>
      </c>
      <c r="H18" s="33">
        <f>COUNTIFS([1]Data!BL$409:'[1]Data'!BL$1211,"&gt;" &amp; Exp!$D17,[1]Data!BL$409:'[1]Data'!BL$1211,"&lt;="&amp; Exp!$D18,[1]Data!$D$409:'[1]Data'!$D$1211,"= 3")</f>
        <v>0</v>
      </c>
      <c r="I18" s="33">
        <f>COUNTIFS([1]Data!BL$409:'[1]Data'!BL$1211,"&gt;" &amp; Exp!$D17,[1]Data!BL$409:'[1]Data'!BL$1211,"&lt;="&amp; Exp!$D18,[1]Data!$D$409:'[1]Data'!$D$1211,"= 4")</f>
        <v>0</v>
      </c>
      <c r="J18" s="33">
        <f>COUNTIFS([1]Data!BL$409:'[1]Data'!BL$1211,"&gt;" &amp; Exp!$D17,[1]Data!BL$409:'[1]Data'!BL$1211,"&lt;="&amp; Exp!$D18,[1]Data!$D$409:'[1]Data'!$D$1211,"= 5")</f>
        <v>0</v>
      </c>
      <c r="K18" s="33">
        <f>COUNTIFS([1]Data!BL$409:'[1]Data'!BL$1211,"&gt;" &amp; Exp!$D17,[1]Data!BL$409:'[1]Data'!BL$1211,"&lt;="&amp; Exp!$D18,[1]Data!$D$409:'[1]Data'!$D$1211,"= 6")</f>
        <v>0</v>
      </c>
      <c r="L18" s="33">
        <f>COUNTIFS([1]Data!BL$409:'[1]Data'!BL$1211,"&gt;" &amp; Exp!$D17,[1]Data!BL$409:'[1]Data'!BL$1211,"&lt;="&amp; Exp!$D18,[1]Data!$D$409:'[1]Data'!$D$1211,"= 7")</f>
        <v>0</v>
      </c>
      <c r="M18" s="33">
        <f>COUNTIFS([1]Data!BL$409:'[1]Data'!BL$1211,"&gt;" &amp; Exp!$D17,[1]Data!BL$409:'[1]Data'!BL$1211,"&lt;="&amp; Exp!$D18,[1]Data!$D$409:'[1]Data'!$D$1211,"= 8")</f>
        <v>0</v>
      </c>
      <c r="N18" s="32" t="e">
        <f>IF(N$1=TRUE,$E18/$E$28,"")</f>
        <v>#DIV/0!</v>
      </c>
      <c r="O18" s="32" t="e">
        <f>IF(O$1=TRUE,F18/$E$28,"")</f>
        <v>#DIV/0!</v>
      </c>
      <c r="P18" s="32" t="e">
        <f>IF(P$1=TRUE,G18/$E$28,"")</f>
        <v>#DIV/0!</v>
      </c>
      <c r="Q18" s="32" t="e">
        <f>IF(Q$1=TRUE,H18/$E$28,"")</f>
        <v>#DIV/0!</v>
      </c>
      <c r="R18" s="32" t="e">
        <f>IF(R$1=TRUE,I18/$E$28,"")</f>
        <v>#DIV/0!</v>
      </c>
      <c r="S18" s="32" t="e">
        <f>IF(S$1=TRUE,J18/$E$28,"")</f>
        <v>#DIV/0!</v>
      </c>
      <c r="T18" s="32" t="e">
        <f>IF(T$1=TRUE,K18/$E$28,"")</f>
        <v>#DIV/0!</v>
      </c>
      <c r="U18" s="32" t="e">
        <f>IF(U$1=TRUE,L18/$E$28,"")</f>
        <v>#DIV/0!</v>
      </c>
      <c r="V18" s="31" t="e">
        <f>IF(V$1=TRUE,M18/$E$28,"")</f>
        <v>#DIV/0!</v>
      </c>
    </row>
    <row r="19" spans="1:22" x14ac:dyDescent="0.2">
      <c r="A19" s="26"/>
      <c r="B19" s="24">
        <v>14</v>
      </c>
      <c r="C19" s="24" t="s">
        <v>16</v>
      </c>
      <c r="D19" s="34">
        <f>$D$36+B19*$F$36</f>
        <v>0</v>
      </c>
      <c r="E19" s="33">
        <f>COUNTIFS([1]Data!BL$409:'[1]Data'!BL$1211,"&gt;" &amp; Exp!$D18,[1]Data!BL$409:'[1]Data'!BL$1211,"&lt;="&amp; Exp!$D19)</f>
        <v>0</v>
      </c>
      <c r="F19" s="33">
        <f>COUNTIFS([1]Data!BL$409:'[1]Data'!BL$1211,"&gt;" &amp; Exp!$D18,[1]Data!BL$409:'[1]Data'!BL$1211,"&lt;="&amp; Exp!$D19,[1]Data!$D$409:'[1]Data'!$D$1211,"= 1")</f>
        <v>0</v>
      </c>
      <c r="G19" s="33">
        <f>COUNTIFS([1]Data!BL$409:'[1]Data'!BL$1211,"&gt;" &amp; Exp!$D18,[1]Data!BL$409:'[1]Data'!BL$1211,"&lt;="&amp; Exp!$D19,[1]Data!$D$409:'[1]Data'!$D$1211,"= 2")</f>
        <v>0</v>
      </c>
      <c r="H19" s="33">
        <f>COUNTIFS([1]Data!BL$409:'[1]Data'!BL$1211,"&gt;" &amp; Exp!$D18,[1]Data!BL$409:'[1]Data'!BL$1211,"&lt;="&amp; Exp!$D19,[1]Data!$D$409:'[1]Data'!$D$1211,"= 3")</f>
        <v>0</v>
      </c>
      <c r="I19" s="33">
        <f>COUNTIFS([1]Data!BL$409:'[1]Data'!BL$1211,"&gt;" &amp; Exp!$D18,[1]Data!BL$409:'[1]Data'!BL$1211,"&lt;="&amp; Exp!$D19,[1]Data!$D$409:'[1]Data'!$D$1211,"= 4")</f>
        <v>0</v>
      </c>
      <c r="J19" s="33">
        <f>COUNTIFS([1]Data!BL$409:'[1]Data'!BL$1211,"&gt;" &amp; Exp!$D18,[1]Data!BL$409:'[1]Data'!BL$1211,"&lt;="&amp; Exp!$D19,[1]Data!$D$409:'[1]Data'!$D$1211,"= 5")</f>
        <v>0</v>
      </c>
      <c r="K19" s="33">
        <f>COUNTIFS([1]Data!BL$409:'[1]Data'!BL$1211,"&gt;" &amp; Exp!$D18,[1]Data!BL$409:'[1]Data'!BL$1211,"&lt;="&amp; Exp!$D19,[1]Data!$D$409:'[1]Data'!$D$1211,"= 6")</f>
        <v>0</v>
      </c>
      <c r="L19" s="33">
        <f>COUNTIFS([1]Data!BL$409:'[1]Data'!BL$1211,"&gt;" &amp; Exp!$D18,[1]Data!BL$409:'[1]Data'!BL$1211,"&lt;="&amp; Exp!$D19,[1]Data!$D$409:'[1]Data'!$D$1211,"= 7")</f>
        <v>0</v>
      </c>
      <c r="M19" s="33">
        <f>COUNTIFS([1]Data!BL$409:'[1]Data'!BL$1211,"&gt;" &amp; Exp!$D18,[1]Data!BL$409:'[1]Data'!BL$1211,"&lt;="&amp; Exp!$D19,[1]Data!$D$409:'[1]Data'!$D$1211,"= 8")</f>
        <v>0</v>
      </c>
      <c r="N19" s="32" t="e">
        <f>IF(N$1=TRUE,$E19/$E$28,"")</f>
        <v>#DIV/0!</v>
      </c>
      <c r="O19" s="32" t="e">
        <f>IF(O$1=TRUE,F19/$E$28,"")</f>
        <v>#DIV/0!</v>
      </c>
      <c r="P19" s="32" t="e">
        <f>IF(P$1=TRUE,G19/$E$28,"")</f>
        <v>#DIV/0!</v>
      </c>
      <c r="Q19" s="32" t="e">
        <f>IF(Q$1=TRUE,H19/$E$28,"")</f>
        <v>#DIV/0!</v>
      </c>
      <c r="R19" s="32" t="e">
        <f>IF(R$1=TRUE,I19/$E$28,"")</f>
        <v>#DIV/0!</v>
      </c>
      <c r="S19" s="32" t="e">
        <f>IF(S$1=TRUE,J19/$E$28,"")</f>
        <v>#DIV/0!</v>
      </c>
      <c r="T19" s="32" t="e">
        <f>IF(T$1=TRUE,K19/$E$28,"")</f>
        <v>#DIV/0!</v>
      </c>
      <c r="U19" s="32" t="e">
        <f>IF(U$1=TRUE,L19/$E$28,"")</f>
        <v>#DIV/0!</v>
      </c>
      <c r="V19" s="31" t="e">
        <f>IF(V$1=TRUE,M19/$E$28,"")</f>
        <v>#DIV/0!</v>
      </c>
    </row>
    <row r="20" spans="1:22" x14ac:dyDescent="0.2">
      <c r="A20" s="26"/>
      <c r="B20" s="24">
        <v>15</v>
      </c>
      <c r="C20" s="24" t="s">
        <v>16</v>
      </c>
      <c r="D20" s="34">
        <f>$D$36+B20*$F$36</f>
        <v>0</v>
      </c>
      <c r="E20" s="33">
        <f>COUNTIFS([1]Data!BL$409:'[1]Data'!BL$1211,"&gt;" &amp; Exp!$D19,[1]Data!BL$409:'[1]Data'!BL$1211,"&lt;="&amp; Exp!$D20)</f>
        <v>0</v>
      </c>
      <c r="F20" s="33">
        <f>COUNTIFS([1]Data!BL$409:'[1]Data'!BL$1211,"&gt;" &amp; Exp!$D19,[1]Data!BL$409:'[1]Data'!BL$1211,"&lt;="&amp; Exp!$D20,[1]Data!$D$409:'[1]Data'!$D$1211,"= 1")</f>
        <v>0</v>
      </c>
      <c r="G20" s="33">
        <f>COUNTIFS([1]Data!BL$409:'[1]Data'!BL$1211,"&gt;" &amp; Exp!$D19,[1]Data!BL$409:'[1]Data'!BL$1211,"&lt;="&amp; Exp!$D20,[1]Data!$D$409:'[1]Data'!$D$1211,"= 2")</f>
        <v>0</v>
      </c>
      <c r="H20" s="33">
        <f>COUNTIFS([1]Data!BL$409:'[1]Data'!BL$1211,"&gt;" &amp; Exp!$D19,[1]Data!BL$409:'[1]Data'!BL$1211,"&lt;="&amp; Exp!$D20,[1]Data!$D$409:'[1]Data'!$D$1211,"= 3")</f>
        <v>0</v>
      </c>
      <c r="I20" s="33">
        <f>COUNTIFS([1]Data!BL$409:'[1]Data'!BL$1211,"&gt;" &amp; Exp!$D19,[1]Data!BL$409:'[1]Data'!BL$1211,"&lt;="&amp; Exp!$D20,[1]Data!$D$409:'[1]Data'!$D$1211,"= 4")</f>
        <v>0</v>
      </c>
      <c r="J20" s="33">
        <f>COUNTIFS([1]Data!BL$409:'[1]Data'!BL$1211,"&gt;" &amp; Exp!$D19,[1]Data!BL$409:'[1]Data'!BL$1211,"&lt;="&amp; Exp!$D20,[1]Data!$D$409:'[1]Data'!$D$1211,"= 5")</f>
        <v>0</v>
      </c>
      <c r="K20" s="33">
        <f>COUNTIFS([1]Data!BL$409:'[1]Data'!BL$1211,"&gt;" &amp; Exp!$D19,[1]Data!BL$409:'[1]Data'!BL$1211,"&lt;="&amp; Exp!$D20,[1]Data!$D$409:'[1]Data'!$D$1211,"= 6")</f>
        <v>0</v>
      </c>
      <c r="L20" s="33">
        <f>COUNTIFS([1]Data!BL$409:'[1]Data'!BL$1211,"&gt;" &amp; Exp!$D19,[1]Data!BL$409:'[1]Data'!BL$1211,"&lt;="&amp; Exp!$D20,[1]Data!$D$409:'[1]Data'!$D$1211,"= 7")</f>
        <v>0</v>
      </c>
      <c r="M20" s="33">
        <f>COUNTIFS([1]Data!BL$409:'[1]Data'!BL$1211,"&gt;" &amp; Exp!$D19,[1]Data!BL$409:'[1]Data'!BL$1211,"&lt;="&amp; Exp!$D20,[1]Data!$D$409:'[1]Data'!$D$1211,"= 8")</f>
        <v>0</v>
      </c>
      <c r="N20" s="32" t="e">
        <f>IF(N$1=TRUE,$E20/$E$28,"")</f>
        <v>#DIV/0!</v>
      </c>
      <c r="O20" s="32" t="e">
        <f>IF(O$1=TRUE,F20/$E$28,"")</f>
        <v>#DIV/0!</v>
      </c>
      <c r="P20" s="32" t="e">
        <f>IF(P$1=TRUE,G20/$E$28,"")</f>
        <v>#DIV/0!</v>
      </c>
      <c r="Q20" s="32" t="e">
        <f>IF(Q$1=TRUE,H20/$E$28,"")</f>
        <v>#DIV/0!</v>
      </c>
      <c r="R20" s="32" t="e">
        <f>IF(R$1=TRUE,I20/$E$28,"")</f>
        <v>#DIV/0!</v>
      </c>
      <c r="S20" s="32" t="e">
        <f>IF(S$1=TRUE,J20/$E$28,"")</f>
        <v>#DIV/0!</v>
      </c>
      <c r="T20" s="32" t="e">
        <f>IF(T$1=TRUE,K20/$E$28,"")</f>
        <v>#DIV/0!</v>
      </c>
      <c r="U20" s="32" t="e">
        <f>IF(U$1=TRUE,L20/$E$28,"")</f>
        <v>#DIV/0!</v>
      </c>
      <c r="V20" s="31" t="e">
        <f>IF(V$1=TRUE,M20/$E$28,"")</f>
        <v>#DIV/0!</v>
      </c>
    </row>
    <row r="21" spans="1:22" x14ac:dyDescent="0.2">
      <c r="A21" s="26"/>
      <c r="B21" s="24">
        <v>16</v>
      </c>
      <c r="C21" s="24" t="s">
        <v>16</v>
      </c>
      <c r="D21" s="34">
        <f>$D$36+B21*$F$36</f>
        <v>0</v>
      </c>
      <c r="E21" s="33">
        <f>COUNTIFS([1]Data!BL$409:'[1]Data'!BL$1211,"&gt;" &amp; Exp!$D20,[1]Data!BL$409:'[1]Data'!BL$1211,"&lt;="&amp; Exp!$D21)</f>
        <v>0</v>
      </c>
      <c r="F21" s="33">
        <f>COUNTIFS([1]Data!BL$409:'[1]Data'!BL$1211,"&gt;" &amp; Exp!$D20,[1]Data!BL$409:'[1]Data'!BL$1211,"&lt;="&amp; Exp!$D21,[1]Data!$D$409:'[1]Data'!$D$1211,"= 1")</f>
        <v>0</v>
      </c>
      <c r="G21" s="33">
        <f>COUNTIFS([1]Data!BL$409:'[1]Data'!BL$1211,"&gt;" &amp; Exp!$D20,[1]Data!BL$409:'[1]Data'!BL$1211,"&lt;="&amp; Exp!$D21,[1]Data!$D$409:'[1]Data'!$D$1211,"= 2")</f>
        <v>0</v>
      </c>
      <c r="H21" s="33">
        <f>COUNTIFS([1]Data!BL$409:'[1]Data'!BL$1211,"&gt;" &amp; Exp!$D20,[1]Data!BL$409:'[1]Data'!BL$1211,"&lt;="&amp; Exp!$D21,[1]Data!$D$409:'[1]Data'!$D$1211,"= 3")</f>
        <v>0</v>
      </c>
      <c r="I21" s="33">
        <f>COUNTIFS([1]Data!BL$409:'[1]Data'!BL$1211,"&gt;" &amp; Exp!$D20,[1]Data!BL$409:'[1]Data'!BL$1211,"&lt;="&amp; Exp!$D21,[1]Data!$D$409:'[1]Data'!$D$1211,"= 4")</f>
        <v>0</v>
      </c>
      <c r="J21" s="33">
        <f>COUNTIFS([1]Data!BL$409:'[1]Data'!BL$1211,"&gt;" &amp; Exp!$D20,[1]Data!BL$409:'[1]Data'!BL$1211,"&lt;="&amp; Exp!$D21,[1]Data!$D$409:'[1]Data'!$D$1211,"= 5")</f>
        <v>0</v>
      </c>
      <c r="K21" s="33">
        <f>COUNTIFS([1]Data!BL$409:'[1]Data'!BL$1211,"&gt;" &amp; Exp!$D20,[1]Data!BL$409:'[1]Data'!BL$1211,"&lt;="&amp; Exp!$D21,[1]Data!$D$409:'[1]Data'!$D$1211,"= 6")</f>
        <v>0</v>
      </c>
      <c r="L21" s="33">
        <f>COUNTIFS([1]Data!BL$409:'[1]Data'!BL$1211,"&gt;" &amp; Exp!$D20,[1]Data!BL$409:'[1]Data'!BL$1211,"&lt;="&amp; Exp!$D21,[1]Data!$D$409:'[1]Data'!$D$1211,"= 7")</f>
        <v>0</v>
      </c>
      <c r="M21" s="33">
        <f>COUNTIFS([1]Data!BL$409:'[1]Data'!BL$1211,"&gt;" &amp; Exp!$D20,[1]Data!BL$409:'[1]Data'!BL$1211,"&lt;="&amp; Exp!$D21,[1]Data!$D$409:'[1]Data'!$D$1211,"= 8")</f>
        <v>0</v>
      </c>
      <c r="N21" s="32" t="e">
        <f>IF(N$1=TRUE,$E21/$E$28,"")</f>
        <v>#DIV/0!</v>
      </c>
      <c r="O21" s="32" t="e">
        <f>IF(O$1=TRUE,F21/$E$28,"")</f>
        <v>#DIV/0!</v>
      </c>
      <c r="P21" s="32" t="e">
        <f>IF(P$1=TRUE,G21/$E$28,"")</f>
        <v>#DIV/0!</v>
      </c>
      <c r="Q21" s="32" t="e">
        <f>IF(Q$1=TRUE,H21/$E$28,"")</f>
        <v>#DIV/0!</v>
      </c>
      <c r="R21" s="32" t="e">
        <f>IF(R$1=TRUE,I21/$E$28,"")</f>
        <v>#DIV/0!</v>
      </c>
      <c r="S21" s="32" t="e">
        <f>IF(S$1=TRUE,J21/$E$28,"")</f>
        <v>#DIV/0!</v>
      </c>
      <c r="T21" s="32" t="e">
        <f>IF(T$1=TRUE,K21/$E$28,"")</f>
        <v>#DIV/0!</v>
      </c>
      <c r="U21" s="32" t="e">
        <f>IF(U$1=TRUE,L21/$E$28,"")</f>
        <v>#DIV/0!</v>
      </c>
      <c r="V21" s="31" t="e">
        <f>IF(V$1=TRUE,M21/$E$28,"")</f>
        <v>#DIV/0!</v>
      </c>
    </row>
    <row r="22" spans="1:22" x14ac:dyDescent="0.2">
      <c r="A22" s="26"/>
      <c r="B22" s="24">
        <v>17</v>
      </c>
      <c r="C22" s="24" t="s">
        <v>16</v>
      </c>
      <c r="D22" s="34">
        <f>$D$36+B22*$F$36</f>
        <v>0</v>
      </c>
      <c r="E22" s="33">
        <f>COUNTIFS([1]Data!BL$409:'[1]Data'!BL$1211,"&gt;" &amp; Exp!$D21,[1]Data!BL$409:'[1]Data'!BL$1211,"&lt;="&amp; Exp!$D22)</f>
        <v>0</v>
      </c>
      <c r="F22" s="33">
        <f>COUNTIFS([1]Data!BL$409:'[1]Data'!BL$1211,"&gt;" &amp; Exp!$D21,[1]Data!BL$409:'[1]Data'!BL$1211,"&lt;="&amp; Exp!$D22,[1]Data!$D$409:'[1]Data'!$D$1211,"= 1")</f>
        <v>0</v>
      </c>
      <c r="G22" s="33">
        <f>COUNTIFS([1]Data!BL$409:'[1]Data'!BL$1211,"&gt;" &amp; Exp!$D21,[1]Data!BL$409:'[1]Data'!BL$1211,"&lt;="&amp; Exp!$D22,[1]Data!$D$409:'[1]Data'!$D$1211,"= 2")</f>
        <v>0</v>
      </c>
      <c r="H22" s="33">
        <f>COUNTIFS([1]Data!BL$409:'[1]Data'!BL$1211,"&gt;" &amp; Exp!$D21,[1]Data!BL$409:'[1]Data'!BL$1211,"&lt;="&amp; Exp!$D22,[1]Data!$D$409:'[1]Data'!$D$1211,"= 3")</f>
        <v>0</v>
      </c>
      <c r="I22" s="33">
        <f>COUNTIFS([1]Data!BL$409:'[1]Data'!BL$1211,"&gt;" &amp; Exp!$D21,[1]Data!BL$409:'[1]Data'!BL$1211,"&lt;="&amp; Exp!$D22,[1]Data!$D$409:'[1]Data'!$D$1211,"= 4")</f>
        <v>0</v>
      </c>
      <c r="J22" s="33">
        <f>COUNTIFS([1]Data!BL$409:'[1]Data'!BL$1211,"&gt;" &amp; Exp!$D21,[1]Data!BL$409:'[1]Data'!BL$1211,"&lt;="&amp; Exp!$D22,[1]Data!$D$409:'[1]Data'!$D$1211,"= 5")</f>
        <v>0</v>
      </c>
      <c r="K22" s="33">
        <f>COUNTIFS([1]Data!BL$409:'[1]Data'!BL$1211,"&gt;" &amp; Exp!$D21,[1]Data!BL$409:'[1]Data'!BL$1211,"&lt;="&amp; Exp!$D22,[1]Data!$D$409:'[1]Data'!$D$1211,"= 6")</f>
        <v>0</v>
      </c>
      <c r="L22" s="33">
        <f>COUNTIFS([1]Data!BL$409:'[1]Data'!BL$1211,"&gt;" &amp; Exp!$D21,[1]Data!BL$409:'[1]Data'!BL$1211,"&lt;="&amp; Exp!$D22,[1]Data!$D$409:'[1]Data'!$D$1211,"= 7")</f>
        <v>0</v>
      </c>
      <c r="M22" s="33">
        <f>COUNTIFS([1]Data!BL$409:'[1]Data'!BL$1211,"&gt;" &amp; Exp!$D21,[1]Data!BL$409:'[1]Data'!BL$1211,"&lt;="&amp; Exp!$D22,[1]Data!$D$409:'[1]Data'!$D$1211,"= 8")</f>
        <v>0</v>
      </c>
      <c r="N22" s="32" t="e">
        <f>IF(N$1=TRUE,$E22/$E$28,"")</f>
        <v>#DIV/0!</v>
      </c>
      <c r="O22" s="32" t="e">
        <f>IF(O$1=TRUE,F22/$E$28,"")</f>
        <v>#DIV/0!</v>
      </c>
      <c r="P22" s="32" t="e">
        <f>IF(P$1=TRUE,G22/$E$28,"")</f>
        <v>#DIV/0!</v>
      </c>
      <c r="Q22" s="32" t="e">
        <f>IF(Q$1=TRUE,H22/$E$28,"")</f>
        <v>#DIV/0!</v>
      </c>
      <c r="R22" s="32" t="e">
        <f>IF(R$1=TRUE,I22/$E$28,"")</f>
        <v>#DIV/0!</v>
      </c>
      <c r="S22" s="32" t="e">
        <f>IF(S$1=TRUE,J22/$E$28,"")</f>
        <v>#DIV/0!</v>
      </c>
      <c r="T22" s="32" t="e">
        <f>IF(T$1=TRUE,K22/$E$28,"")</f>
        <v>#DIV/0!</v>
      </c>
      <c r="U22" s="32" t="e">
        <f>IF(U$1=TRUE,L22/$E$28,"")</f>
        <v>#DIV/0!</v>
      </c>
      <c r="V22" s="31" t="e">
        <f>IF(V$1=TRUE,M22/$E$28,"")</f>
        <v>#DIV/0!</v>
      </c>
    </row>
    <row r="23" spans="1:22" x14ac:dyDescent="0.2">
      <c r="A23" s="26"/>
      <c r="B23" s="24">
        <v>18</v>
      </c>
      <c r="C23" s="24" t="s">
        <v>16</v>
      </c>
      <c r="D23" s="34">
        <f>$D$36+B23*$F$36</f>
        <v>0</v>
      </c>
      <c r="E23" s="33">
        <f>COUNTIFS([1]Data!BL$409:'[1]Data'!BL$1211,"&gt;" &amp; Exp!$D22,[1]Data!BL$409:'[1]Data'!BL$1211,"&lt;="&amp; Exp!$D23)</f>
        <v>0</v>
      </c>
      <c r="F23" s="33">
        <f>COUNTIFS([1]Data!BL$409:'[1]Data'!BL$1211,"&gt;" &amp; Exp!$D22,[1]Data!BL$409:'[1]Data'!BL$1211,"&lt;="&amp; Exp!$D23,[1]Data!$D$409:'[1]Data'!$D$1211,"= 1")</f>
        <v>0</v>
      </c>
      <c r="G23" s="33">
        <f>COUNTIFS([1]Data!BL$409:'[1]Data'!BL$1211,"&gt;" &amp; Exp!$D22,[1]Data!BL$409:'[1]Data'!BL$1211,"&lt;="&amp; Exp!$D23,[1]Data!$D$409:'[1]Data'!$D$1211,"= 2")</f>
        <v>0</v>
      </c>
      <c r="H23" s="33">
        <f>COUNTIFS([1]Data!BL$409:'[1]Data'!BL$1211,"&gt;" &amp; Exp!$D22,[1]Data!BL$409:'[1]Data'!BL$1211,"&lt;="&amp; Exp!$D23,[1]Data!$D$409:'[1]Data'!$D$1211,"= 3")</f>
        <v>0</v>
      </c>
      <c r="I23" s="33">
        <f>COUNTIFS([1]Data!BL$409:'[1]Data'!BL$1211,"&gt;" &amp; Exp!$D22,[1]Data!BL$409:'[1]Data'!BL$1211,"&lt;="&amp; Exp!$D23,[1]Data!$D$409:'[1]Data'!$D$1211,"= 4")</f>
        <v>0</v>
      </c>
      <c r="J23" s="33">
        <f>COUNTIFS([1]Data!BL$409:'[1]Data'!BL$1211,"&gt;" &amp; Exp!$D22,[1]Data!BL$409:'[1]Data'!BL$1211,"&lt;="&amp; Exp!$D23,[1]Data!$D$409:'[1]Data'!$D$1211,"= 5")</f>
        <v>0</v>
      </c>
      <c r="K23" s="33">
        <f>COUNTIFS([1]Data!BL$409:'[1]Data'!BL$1211,"&gt;" &amp; Exp!$D22,[1]Data!BL$409:'[1]Data'!BL$1211,"&lt;="&amp; Exp!$D23,[1]Data!$D$409:'[1]Data'!$D$1211,"= 6")</f>
        <v>0</v>
      </c>
      <c r="L23" s="33">
        <f>COUNTIFS([1]Data!BL$409:'[1]Data'!BL$1211,"&gt;" &amp; Exp!$D22,[1]Data!BL$409:'[1]Data'!BL$1211,"&lt;="&amp; Exp!$D23,[1]Data!$D$409:'[1]Data'!$D$1211,"= 7")</f>
        <v>0</v>
      </c>
      <c r="M23" s="33">
        <f>COUNTIFS([1]Data!BL$409:'[1]Data'!BL$1211,"&gt;" &amp; Exp!$D22,[1]Data!BL$409:'[1]Data'!BL$1211,"&lt;="&amp; Exp!$D23,[1]Data!$D$409:'[1]Data'!$D$1211,"= 8")</f>
        <v>0</v>
      </c>
      <c r="N23" s="32" t="e">
        <f>IF(N$1=TRUE,$E23/$E$28,"")</f>
        <v>#DIV/0!</v>
      </c>
      <c r="O23" s="32" t="e">
        <f>IF(O$1=TRUE,F23/$E$28,"")</f>
        <v>#DIV/0!</v>
      </c>
      <c r="P23" s="32" t="e">
        <f>IF(P$1=TRUE,G23/$E$28,"")</f>
        <v>#DIV/0!</v>
      </c>
      <c r="Q23" s="32" t="e">
        <f>IF(Q$1=TRUE,H23/$E$28,"")</f>
        <v>#DIV/0!</v>
      </c>
      <c r="R23" s="32" t="e">
        <f>IF(R$1=TRUE,I23/$E$28,"")</f>
        <v>#DIV/0!</v>
      </c>
      <c r="S23" s="32" t="e">
        <f>IF(S$1=TRUE,J23/$E$28,"")</f>
        <v>#DIV/0!</v>
      </c>
      <c r="T23" s="32" t="e">
        <f>IF(T$1=TRUE,K23/$E$28,"")</f>
        <v>#DIV/0!</v>
      </c>
      <c r="U23" s="32" t="e">
        <f>IF(U$1=TRUE,L23/$E$28,"")</f>
        <v>#DIV/0!</v>
      </c>
      <c r="V23" s="31" t="e">
        <f>IF(V$1=TRUE,M23/$E$28,"")</f>
        <v>#DIV/0!</v>
      </c>
    </row>
    <row r="24" spans="1:22" x14ac:dyDescent="0.2">
      <c r="A24" s="26"/>
      <c r="B24" s="24">
        <v>19</v>
      </c>
      <c r="C24" s="24" t="s">
        <v>16</v>
      </c>
      <c r="D24" s="34">
        <f>$D$36+B24*$F$36</f>
        <v>0</v>
      </c>
      <c r="E24" s="33">
        <f>COUNTIFS([1]Data!BL$409:'[1]Data'!BL$1211,"&gt;" &amp; Exp!$D23,[1]Data!BL$409:'[1]Data'!BL$1211,"&lt;="&amp; Exp!$D24)</f>
        <v>0</v>
      </c>
      <c r="F24" s="33">
        <f>COUNTIFS([1]Data!BL$409:'[1]Data'!BL$1211,"&gt;" &amp; Exp!$D23,[1]Data!BL$409:'[1]Data'!BL$1211,"&lt;="&amp; Exp!$D24,[1]Data!$D$409:'[1]Data'!$D$1211,"= 1")</f>
        <v>0</v>
      </c>
      <c r="G24" s="33">
        <f>COUNTIFS([1]Data!BL$409:'[1]Data'!BL$1211,"&gt;" &amp; Exp!$D23,[1]Data!BL$409:'[1]Data'!BL$1211,"&lt;="&amp; Exp!$D24,[1]Data!$D$409:'[1]Data'!$D$1211,"= 2")</f>
        <v>0</v>
      </c>
      <c r="H24" s="33">
        <f>COUNTIFS([1]Data!BL$409:'[1]Data'!BL$1211,"&gt;" &amp; Exp!$D23,[1]Data!BL$409:'[1]Data'!BL$1211,"&lt;="&amp; Exp!$D24,[1]Data!$D$409:'[1]Data'!$D$1211,"= 3")</f>
        <v>0</v>
      </c>
      <c r="I24" s="33">
        <f>COUNTIFS([1]Data!BL$409:'[1]Data'!BL$1211,"&gt;" &amp; Exp!$D23,[1]Data!BL$409:'[1]Data'!BL$1211,"&lt;="&amp; Exp!$D24,[1]Data!$D$409:'[1]Data'!$D$1211,"= 4")</f>
        <v>0</v>
      </c>
      <c r="J24" s="33">
        <f>COUNTIFS([1]Data!BL$409:'[1]Data'!BL$1211,"&gt;" &amp; Exp!$D23,[1]Data!BL$409:'[1]Data'!BL$1211,"&lt;="&amp; Exp!$D24,[1]Data!$D$409:'[1]Data'!$D$1211,"= 5")</f>
        <v>0</v>
      </c>
      <c r="K24" s="33">
        <f>COUNTIFS([1]Data!BL$409:'[1]Data'!BL$1211,"&gt;" &amp; Exp!$D23,[1]Data!BL$409:'[1]Data'!BL$1211,"&lt;="&amp; Exp!$D24,[1]Data!$D$409:'[1]Data'!$D$1211,"= 6")</f>
        <v>0</v>
      </c>
      <c r="L24" s="33">
        <f>COUNTIFS([1]Data!BL$409:'[1]Data'!BL$1211,"&gt;" &amp; Exp!$D23,[1]Data!BL$409:'[1]Data'!BL$1211,"&lt;="&amp; Exp!$D24,[1]Data!$D$409:'[1]Data'!$D$1211,"= 7")</f>
        <v>0</v>
      </c>
      <c r="M24" s="33">
        <f>COUNTIFS([1]Data!BL$409:'[1]Data'!BL$1211,"&gt;" &amp; Exp!$D23,[1]Data!BL$409:'[1]Data'!BL$1211,"&lt;="&amp; Exp!$D24,[1]Data!$D$409:'[1]Data'!$D$1211,"= 8")</f>
        <v>0</v>
      </c>
      <c r="N24" s="32" t="e">
        <f>IF(N$1=TRUE,$E24/$E$28,"")</f>
        <v>#DIV/0!</v>
      </c>
      <c r="O24" s="32" t="e">
        <f>IF(O$1=TRUE,F24/$E$28,"")</f>
        <v>#DIV/0!</v>
      </c>
      <c r="P24" s="32" t="e">
        <f>IF(P$1=TRUE,G24/$E$28,"")</f>
        <v>#DIV/0!</v>
      </c>
      <c r="Q24" s="32" t="e">
        <f>IF(Q$1=TRUE,H24/$E$28,"")</f>
        <v>#DIV/0!</v>
      </c>
      <c r="R24" s="32" t="e">
        <f>IF(R$1=TRUE,I24/$E$28,"")</f>
        <v>#DIV/0!</v>
      </c>
      <c r="S24" s="32" t="e">
        <f>IF(S$1=TRUE,J24/$E$28,"")</f>
        <v>#DIV/0!</v>
      </c>
      <c r="T24" s="32" t="e">
        <f>IF(T$1=TRUE,K24/$E$28,"")</f>
        <v>#DIV/0!</v>
      </c>
      <c r="U24" s="32" t="e">
        <f>IF(U$1=TRUE,L24/$E$28,"")</f>
        <v>#DIV/0!</v>
      </c>
      <c r="V24" s="31" t="e">
        <f>IF(V$1=TRUE,M24/$E$28,"")</f>
        <v>#DIV/0!</v>
      </c>
    </row>
    <row r="25" spans="1:22" x14ac:dyDescent="0.2">
      <c r="A25" s="35" t="e">
        <f>-MAX(Exp!N3:'Exp'!N27)</f>
        <v>#DIV/0!</v>
      </c>
      <c r="B25" s="24">
        <v>20</v>
      </c>
      <c r="C25" s="24" t="s">
        <v>16</v>
      </c>
      <c r="D25" s="34">
        <f>$D$36+B25*$F$36</f>
        <v>0</v>
      </c>
      <c r="E25" s="33">
        <f>COUNTIFS([1]Data!BL$409:'[1]Data'!BL$1211,"&gt;" &amp; Exp!$D24,[1]Data!BL$409:'[1]Data'!BL$1211,"&lt;="&amp; Exp!$D25)</f>
        <v>0</v>
      </c>
      <c r="F25" s="33">
        <f>COUNTIFS([1]Data!BL$409:'[1]Data'!BL$1211,"&gt;" &amp; Exp!$D24,[1]Data!BL$409:'[1]Data'!BL$1211,"&lt;="&amp; Exp!$D25,[1]Data!$D$409:'[1]Data'!$D$1211,"= 1")</f>
        <v>0</v>
      </c>
      <c r="G25" s="33">
        <f>COUNTIFS([1]Data!BL$409:'[1]Data'!BL$1211,"&gt;" &amp; Exp!$D24,[1]Data!BL$409:'[1]Data'!BL$1211,"&lt;="&amp; Exp!$D25,[1]Data!$D$409:'[1]Data'!$D$1211,"= 2")</f>
        <v>0</v>
      </c>
      <c r="H25" s="33">
        <f>COUNTIFS([1]Data!BL$409:'[1]Data'!BL$1211,"&gt;" &amp; Exp!$D24,[1]Data!BL$409:'[1]Data'!BL$1211,"&lt;="&amp; Exp!$D25,[1]Data!$D$409:'[1]Data'!$D$1211,"= 3")</f>
        <v>0</v>
      </c>
      <c r="I25" s="33">
        <f>COUNTIFS([1]Data!BL$409:'[1]Data'!BL$1211,"&gt;" &amp; Exp!$D24,[1]Data!BL$409:'[1]Data'!BL$1211,"&lt;="&amp; Exp!$D25,[1]Data!$D$409:'[1]Data'!$D$1211,"= 4")</f>
        <v>0</v>
      </c>
      <c r="J25" s="33">
        <f>COUNTIFS([1]Data!BL$409:'[1]Data'!BL$1211,"&gt;" &amp; Exp!$D24,[1]Data!BL$409:'[1]Data'!BL$1211,"&lt;="&amp; Exp!$D25,[1]Data!$D$409:'[1]Data'!$D$1211,"= 5")</f>
        <v>0</v>
      </c>
      <c r="K25" s="33">
        <f>COUNTIFS([1]Data!BL$409:'[1]Data'!BL$1211,"&gt;" &amp; Exp!$D24,[1]Data!BL$409:'[1]Data'!BL$1211,"&lt;="&amp; Exp!$D25,[1]Data!$D$409:'[1]Data'!$D$1211,"= 6")</f>
        <v>0</v>
      </c>
      <c r="L25" s="33">
        <f>COUNTIFS([1]Data!BL$409:'[1]Data'!BL$1211,"&gt;" &amp; Exp!$D24,[1]Data!BL$409:'[1]Data'!BL$1211,"&lt;="&amp; Exp!$D25,[1]Data!$D$409:'[1]Data'!$D$1211,"= 7")</f>
        <v>0</v>
      </c>
      <c r="M25" s="33">
        <f>COUNTIFS([1]Data!BL$409:'[1]Data'!BL$1211,"&gt;" &amp; Exp!$D24,[1]Data!BL$409:'[1]Data'!BL$1211,"&lt;="&amp; Exp!$D25,[1]Data!$D$409:'[1]Data'!$D$1211,"= 8")</f>
        <v>0</v>
      </c>
      <c r="N25" s="32" t="e">
        <f>IF(N$1=TRUE,$E25/$E$28,"")</f>
        <v>#DIV/0!</v>
      </c>
      <c r="O25" s="32" t="e">
        <f>IF(O$1=TRUE,F25/$E$28,"")</f>
        <v>#DIV/0!</v>
      </c>
      <c r="P25" s="32" t="e">
        <f>IF(P$1=TRUE,G25/$E$28,"")</f>
        <v>#DIV/0!</v>
      </c>
      <c r="Q25" s="32" t="e">
        <f>IF(Q$1=TRUE,H25/$E$28,"")</f>
        <v>#DIV/0!</v>
      </c>
      <c r="R25" s="32" t="e">
        <f>IF(R$1=TRUE,I25/$E$28,"")</f>
        <v>#DIV/0!</v>
      </c>
      <c r="S25" s="32" t="e">
        <f>IF(S$1=TRUE,J25/$E$28,"")</f>
        <v>#DIV/0!</v>
      </c>
      <c r="T25" s="32" t="e">
        <f>IF(T$1=TRUE,K25/$E$28,"")</f>
        <v>#DIV/0!</v>
      </c>
      <c r="U25" s="32" t="e">
        <f>IF(U$1=TRUE,L25/$E$28,"")</f>
        <v>#DIV/0!</v>
      </c>
      <c r="V25" s="31" t="e">
        <f>IF(V$1=TRUE,M25/$E$28,"")</f>
        <v>#DIV/0!</v>
      </c>
    </row>
    <row r="26" spans="1:22" x14ac:dyDescent="0.2">
      <c r="A26" s="26"/>
      <c r="B26" s="24">
        <v>21</v>
      </c>
      <c r="C26" s="24" t="s">
        <v>16</v>
      </c>
      <c r="D26" s="30">
        <f>$D$36+B26*$F$36</f>
        <v>0</v>
      </c>
      <c r="E26" s="29">
        <f>COUNTIFS([1]Data!BL$409:'[1]Data'!BL$1211,"&gt;" &amp; Exp!$D25,[1]Data!BL$409:'[1]Data'!BL$1211,"&lt;="&amp; Exp!$D26)</f>
        <v>0</v>
      </c>
      <c r="F26" s="29">
        <f>COUNTIFS([1]Data!BL$409:'[1]Data'!BL$1211,"&gt;" &amp; Exp!$D25,[1]Data!BL$409:'[1]Data'!BL$1211,"&lt;="&amp; Exp!$D26,[1]Data!$D$409:'[1]Data'!$D$1211,"= 1")</f>
        <v>0</v>
      </c>
      <c r="G26" s="29">
        <f>COUNTIFS([1]Data!BL$409:'[1]Data'!BL$1211,"&gt;" &amp; Exp!$D25,[1]Data!BL$409:'[1]Data'!BL$1211,"&lt;="&amp; Exp!$D26,[1]Data!$D$409:'[1]Data'!$D$1211,"= 2")</f>
        <v>0</v>
      </c>
      <c r="H26" s="29">
        <f>COUNTIFS([1]Data!BL$409:'[1]Data'!BL$1211,"&gt;" &amp; Exp!$D25,[1]Data!BL$409:'[1]Data'!BL$1211,"&lt;="&amp; Exp!$D26,[1]Data!$D$409:'[1]Data'!$D$1211,"= 3")</f>
        <v>0</v>
      </c>
      <c r="I26" s="29">
        <f>COUNTIFS([1]Data!BL$409:'[1]Data'!BL$1211,"&gt;" &amp; Exp!$D25,[1]Data!BL$409:'[1]Data'!BL$1211,"&lt;="&amp; Exp!$D26,[1]Data!$D$409:'[1]Data'!$D$1211,"= 4")</f>
        <v>0</v>
      </c>
      <c r="J26" s="29">
        <f>COUNTIFS([1]Data!BL$409:'[1]Data'!BL$1211,"&gt;" &amp; Exp!$D25,[1]Data!BL$409:'[1]Data'!BL$1211,"&lt;="&amp; Exp!$D26,[1]Data!$D$409:'[1]Data'!$D$1211,"= 5")</f>
        <v>0</v>
      </c>
      <c r="K26" s="29">
        <f>COUNTIFS([1]Data!BL$409:'[1]Data'!BL$1211,"&gt;" &amp; Exp!$D25,[1]Data!BL$409:'[1]Data'!BL$1211,"&lt;="&amp; Exp!$D26,[1]Data!$D$409:'[1]Data'!$D$1211,"= 6")</f>
        <v>0</v>
      </c>
      <c r="L26" s="29">
        <f>COUNTIFS([1]Data!BL$409:'[1]Data'!BL$1211,"&gt;" &amp; Exp!$D25,[1]Data!BL$409:'[1]Data'!BL$1211,"&lt;="&amp; Exp!$D26,[1]Data!$D$409:'[1]Data'!$D$1211,"= 7")</f>
        <v>0</v>
      </c>
      <c r="M26" s="29">
        <f>COUNTIFS([1]Data!BL$409:'[1]Data'!BL$1211,"&gt;" &amp; Exp!$D25,[1]Data!BL$409:'[1]Data'!BL$1211,"&lt;="&amp; Exp!$D26,[1]Data!$D$409:'[1]Data'!$D$1211,"= 8")</f>
        <v>0</v>
      </c>
      <c r="N26" s="28" t="e">
        <f>IF(N$1=TRUE,$E26/$E$28,"")</f>
        <v>#DIV/0!</v>
      </c>
      <c r="O26" s="28" t="e">
        <f>IF(O$1=TRUE,F26/$E$28,"")</f>
        <v>#DIV/0!</v>
      </c>
      <c r="P26" s="28" t="e">
        <f>IF(P$1=TRUE,G26/$E$28,"")</f>
        <v>#DIV/0!</v>
      </c>
      <c r="Q26" s="28" t="e">
        <f>IF(Q$1=TRUE,H26/$E$28,"")</f>
        <v>#DIV/0!</v>
      </c>
      <c r="R26" s="28" t="e">
        <f>IF(R$1=TRUE,I26/$E$28,"")</f>
        <v>#DIV/0!</v>
      </c>
      <c r="S26" s="28" t="e">
        <f>IF(S$1=TRUE,J26/$E$28,"")</f>
        <v>#DIV/0!</v>
      </c>
      <c r="T26" s="28" t="e">
        <f>IF(T$1=TRUE,K26/$E$28,"")</f>
        <v>#DIV/0!</v>
      </c>
      <c r="U26" s="28" t="e">
        <f>IF(U$1=TRUE,L26/$E$28,"")</f>
        <v>#DIV/0!</v>
      </c>
      <c r="V26" s="27" t="e">
        <f>IF(V$1=TRUE,M26/$E$28,"")</f>
        <v>#DIV/0!</v>
      </c>
    </row>
    <row r="27" spans="1:22" x14ac:dyDescent="0.2">
      <c r="A27" s="26"/>
      <c r="B27" s="24">
        <v>22</v>
      </c>
      <c r="C27" s="24" t="s">
        <v>15</v>
      </c>
      <c r="D27" s="30">
        <f>$D$36+B27*$F$36</f>
        <v>0</v>
      </c>
      <c r="E27" s="29">
        <f>COUNTIFS([1]Data!BL$409:'[1]Data'!BL$1211,"&gt;=" &amp; Exp!$D27)</f>
        <v>0</v>
      </c>
      <c r="F27" s="29">
        <f>COUNTIFS([1]Data!BL$409:'[1]Data'!BL$1211,"&gt;=" &amp; Exp!$D27,[1]Data!$D$409:'[1]Data'!$D$1211,"= 1")</f>
        <v>0</v>
      </c>
      <c r="G27" s="29">
        <f>COUNTIFS([1]Data!BL$409:'[1]Data'!BL$1211,"&gt;=" &amp; Exp!$D27,[1]Data!$D$409:'[1]Data'!$D$1211,"= 2")</f>
        <v>0</v>
      </c>
      <c r="H27" s="29">
        <f>COUNTIFS([1]Data!BL$409:'[1]Data'!BL$1211,"&gt;=" &amp; Exp!$D27,[1]Data!$D$409:'[1]Data'!$D$1211,"= 3")</f>
        <v>0</v>
      </c>
      <c r="I27" s="29">
        <f>COUNTIFS([1]Data!BL$409:'[1]Data'!BL$1211,"&gt;=" &amp; Exp!$D27,[1]Data!$D$409:'[1]Data'!$D$1211,"= 4")</f>
        <v>0</v>
      </c>
      <c r="J27" s="29">
        <f>COUNTIFS([1]Data!BL$409:'[1]Data'!BL$1211,"&gt;=" &amp; Exp!$D27,[1]Data!$D$409:'[1]Data'!$D$1211,"= 5")</f>
        <v>0</v>
      </c>
      <c r="K27" s="29">
        <f>COUNTIFS([1]Data!BL$409:'[1]Data'!BL$1211,"&gt;=" &amp; Exp!$D27,[1]Data!$D$409:'[1]Data'!$D$1211,"= 6")</f>
        <v>0</v>
      </c>
      <c r="L27" s="29">
        <f>COUNTIFS([1]Data!BL$409:'[1]Data'!BL$1211,"&gt;=" &amp; Exp!$D27,[1]Data!$D$409:'[1]Data'!$D$1211,"= 7")</f>
        <v>0</v>
      </c>
      <c r="M27" s="29">
        <f>COUNTIFS([1]Data!BL$409:'[1]Data'!BL$1211,"&gt;=" &amp; Exp!$D27,[1]Data!$D$409:'[1]Data'!$D$1211,"= 8")</f>
        <v>0</v>
      </c>
      <c r="N27" s="28" t="e">
        <f>IF(N$1=TRUE,$E27/$E$28,"")</f>
        <v>#DIV/0!</v>
      </c>
      <c r="O27" s="28" t="e">
        <f>IF(O$1=TRUE,F27/$E$28,"")</f>
        <v>#DIV/0!</v>
      </c>
      <c r="P27" s="28" t="e">
        <f>IF(P$1=TRUE,G27/$E$28,"")</f>
        <v>#DIV/0!</v>
      </c>
      <c r="Q27" s="28" t="e">
        <f>IF(Q$1=TRUE,H27/$E$28,"")</f>
        <v>#DIV/0!</v>
      </c>
      <c r="R27" s="28" t="e">
        <f>IF(R$1=TRUE,I27/$E$28,"")</f>
        <v>#DIV/0!</v>
      </c>
      <c r="S27" s="28" t="e">
        <f>IF(S$1=TRUE,J27/$E$28,"")</f>
        <v>#DIV/0!</v>
      </c>
      <c r="T27" s="28" t="e">
        <f>IF(T$1=TRUE,K27/$E$28,"")</f>
        <v>#DIV/0!</v>
      </c>
      <c r="U27" s="28" t="e">
        <f>IF(U$1=TRUE,L27/$E$28,"")</f>
        <v>#DIV/0!</v>
      </c>
      <c r="V27" s="27" t="e">
        <f>IF(V$1=TRUE,M27/$E$28,"")</f>
        <v>#DIV/0!</v>
      </c>
    </row>
    <row r="28" spans="1:22" x14ac:dyDescent="0.2">
      <c r="A28" s="26"/>
      <c r="B28" s="24"/>
      <c r="C28" s="25" t="s">
        <v>14</v>
      </c>
      <c r="D28" s="25"/>
      <c r="E28" s="24">
        <f>SUM(E3:E27)</f>
        <v>0</v>
      </c>
      <c r="F28" s="24">
        <f>SUM(F3:F27)</f>
        <v>0</v>
      </c>
      <c r="G28" s="24">
        <f>SUM(G3:G27)</f>
        <v>0</v>
      </c>
      <c r="H28" s="24">
        <f>SUM(H3:H27)</f>
        <v>0</v>
      </c>
      <c r="I28" s="24">
        <f>SUM(I3:I27)</f>
        <v>0</v>
      </c>
      <c r="J28" s="24">
        <f>SUM(J3:J27)</f>
        <v>0</v>
      </c>
      <c r="K28" s="24">
        <f>SUM(K3:K27)</f>
        <v>0</v>
      </c>
      <c r="L28" s="24">
        <f>SUM(L3:L27)</f>
        <v>0</v>
      </c>
      <c r="M28" s="24">
        <f>SUM(M3:M27)</f>
        <v>0</v>
      </c>
      <c r="N28" s="23" t="e">
        <f>IF(N$1=TRUE,$E28/$E$28,"")</f>
        <v>#DIV/0!</v>
      </c>
      <c r="O28" s="23" t="e">
        <f>IF(O$1=TRUE,F28/$E$28,"")</f>
        <v>#DIV/0!</v>
      </c>
      <c r="P28" s="23" t="e">
        <f>IF(P$1=TRUE,G28/$E$28,"")</f>
        <v>#DIV/0!</v>
      </c>
      <c r="Q28" s="23" t="e">
        <f>IF(Q$1=TRUE,H28/$E$28,"")</f>
        <v>#DIV/0!</v>
      </c>
      <c r="R28" s="23" t="e">
        <f>IF(R$1=TRUE,I28/$E$28,"")</f>
        <v>#DIV/0!</v>
      </c>
      <c r="S28" s="23" t="e">
        <f>IF(S$1=TRUE,J28/$E$28,"")</f>
        <v>#DIV/0!</v>
      </c>
      <c r="T28" s="23" t="e">
        <f>IF(T$1=TRUE,K28/$E$28,"")</f>
        <v>#DIV/0!</v>
      </c>
      <c r="U28" s="23" t="e">
        <f>IF(U$1=TRUE,L28/$E$28,"")</f>
        <v>#DIV/0!</v>
      </c>
      <c r="V28" s="22" t="e">
        <f>IF(V$1=TRUE,M28/$E$28,"")</f>
        <v>#DIV/0!</v>
      </c>
    </row>
    <row r="29" spans="1:22" x14ac:dyDescent="0.2">
      <c r="A29" s="21"/>
      <c r="B29" s="19"/>
      <c r="C29" s="20" t="s">
        <v>13</v>
      </c>
      <c r="D29" s="20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8"/>
    </row>
    <row r="31" spans="1:22" x14ac:dyDescent="0.2">
      <c r="B31" s="17"/>
      <c r="C31" s="17"/>
      <c r="D31" s="17"/>
    </row>
    <row r="32" spans="1:22" x14ac:dyDescent="0.2">
      <c r="B32" s="17"/>
      <c r="C32" s="17"/>
      <c r="D32" s="17"/>
    </row>
    <row r="33" spans="2:26" x14ac:dyDescent="0.2">
      <c r="C33" s="17"/>
      <c r="D33" s="17"/>
    </row>
    <row r="35" spans="2:26" x14ac:dyDescent="0.2">
      <c r="B35" s="16"/>
      <c r="C35" s="7"/>
      <c r="D35" s="15" t="s">
        <v>12</v>
      </c>
      <c r="E35" s="15" t="s">
        <v>11</v>
      </c>
      <c r="F35" s="15" t="s">
        <v>10</v>
      </c>
      <c r="G35" s="15" t="s">
        <v>9</v>
      </c>
    </row>
    <row r="36" spans="2:26" x14ac:dyDescent="0.2">
      <c r="B36" s="7">
        <v>0</v>
      </c>
      <c r="C36" s="7"/>
      <c r="D36" s="13">
        <f>[1]Data!BL400</f>
        <v>0</v>
      </c>
      <c r="E36" s="13">
        <f>[1]Data!BL401</f>
        <v>0</v>
      </c>
      <c r="F36" s="13">
        <f>(E36-D36)/20</f>
        <v>0</v>
      </c>
      <c r="G36" s="14">
        <f>[1]Data!BL399</f>
        <v>0</v>
      </c>
    </row>
    <row r="37" spans="2:26" x14ac:dyDescent="0.2">
      <c r="B37" s="7"/>
      <c r="C37" s="7"/>
      <c r="D37" s="13">
        <f>[1]Data!BL402</f>
        <v>0</v>
      </c>
      <c r="E37" s="13">
        <f>[1]Data!BL404</f>
        <v>0</v>
      </c>
      <c r="F37" s="13">
        <f>(E37-D37)/20</f>
        <v>0</v>
      </c>
      <c r="G37" s="12"/>
    </row>
    <row r="38" spans="2:26" x14ac:dyDescent="0.2">
      <c r="B38" s="7"/>
      <c r="C38" s="7"/>
      <c r="D38" s="13">
        <v>0</v>
      </c>
      <c r="E38" s="13">
        <v>2</v>
      </c>
      <c r="F38" s="13">
        <f>(E38-D38)/20</f>
        <v>0.1</v>
      </c>
      <c r="G38" s="12"/>
    </row>
    <row r="39" spans="2:26" x14ac:dyDescent="0.2">
      <c r="B39" s="7"/>
      <c r="C39" s="7"/>
      <c r="D39" s="13">
        <f>[1]Data!BL403-3*[1]Data!BL406</f>
        <v>0</v>
      </c>
      <c r="E39" s="13">
        <f>[1]Data!BL403+3*[1]Data!BL406</f>
        <v>0</v>
      </c>
      <c r="F39" s="13">
        <f>(E39-D39)/20</f>
        <v>0</v>
      </c>
      <c r="G39" s="12"/>
    </row>
    <row r="40" spans="2:26" x14ac:dyDescent="0.2">
      <c r="B40" s="7"/>
      <c r="C40" s="7"/>
      <c r="D40" s="13">
        <f>[1]Data!BL403-6*[1]Data!BL406</f>
        <v>0</v>
      </c>
      <c r="E40" s="13">
        <f>[1]Data!BL403+6*[1]Data!BL406</f>
        <v>0</v>
      </c>
      <c r="F40" s="13">
        <f>(E40-D40)/20</f>
        <v>0</v>
      </c>
      <c r="G40" s="12"/>
    </row>
    <row r="41" spans="2:26" x14ac:dyDescent="0.2">
      <c r="B41" s="7"/>
      <c r="C41" s="7"/>
      <c r="D41" s="12"/>
      <c r="E41" s="12"/>
      <c r="F41" s="12"/>
    </row>
    <row r="42" spans="2:26" x14ac:dyDescent="0.2">
      <c r="B42" s="7"/>
      <c r="C42" s="7"/>
      <c r="D42" s="11" t="s">
        <v>8</v>
      </c>
      <c r="E42" s="11" t="s">
        <v>7</v>
      </c>
      <c r="F42" s="11" t="s">
        <v>6</v>
      </c>
      <c r="G42" s="11" t="s">
        <v>5</v>
      </c>
    </row>
    <row r="43" spans="2:26" x14ac:dyDescent="0.2">
      <c r="B43" s="7" t="s">
        <v>4</v>
      </c>
      <c r="C43" s="7"/>
      <c r="D43" s="10" t="str">
        <f>IF(E28=0,"",SUM(E6:E25)/E28)</f>
        <v/>
      </c>
      <c r="E43" s="9" t="str">
        <f>IF(E$28=0,"",$F43+$G43)</f>
        <v/>
      </c>
      <c r="F43" s="9" t="str">
        <f>IF(E$28=0,"",SUM(E$3:E$5))</f>
        <v/>
      </c>
      <c r="G43" s="8" t="str">
        <f>IF(E$28=0,"",SUM(E$26:E$27))</f>
        <v/>
      </c>
    </row>
    <row r="44" spans="2:26" x14ac:dyDescent="0.2">
      <c r="B44" s="7"/>
      <c r="C44" s="7"/>
      <c r="D44" s="10" t="str">
        <f>IF(F28=0,"",SUM(F6:F25)/F28)</f>
        <v/>
      </c>
      <c r="E44" s="9" t="str">
        <f>IF(F$28=0,"",$F44+$G44)</f>
        <v/>
      </c>
      <c r="F44" s="9" t="str">
        <f>IF(F$28=0,"",SUM(F$3:F$5))</f>
        <v/>
      </c>
      <c r="G44" s="8" t="str">
        <f>IF(F$28=0,"",SUM(F$26:F$27))</f>
        <v/>
      </c>
    </row>
    <row r="45" spans="2:26" x14ac:dyDescent="0.2">
      <c r="B45" s="7"/>
      <c r="C45" s="7"/>
      <c r="D45" s="10" t="str">
        <f>IF(G28=0,"",SUM(G6:G25)/G28)</f>
        <v/>
      </c>
      <c r="E45" s="9" t="str">
        <f>IF(G$28=0,"",$F45+$G45)</f>
        <v/>
      </c>
      <c r="F45" s="9" t="str">
        <f>IF(G$28=0,"",SUM(G$3:G$5))</f>
        <v/>
      </c>
      <c r="G45" s="8" t="str">
        <f>IF(G$28=0,"",SUM(G$26:G$27))</f>
        <v/>
      </c>
    </row>
    <row r="46" spans="2:26" x14ac:dyDescent="0.2">
      <c r="B46" s="7"/>
      <c r="C46" s="7"/>
      <c r="D46" s="10" t="str">
        <f>IF(H28=0,"",SUM(H6:H25)/H28)</f>
        <v/>
      </c>
      <c r="E46" s="9" t="str">
        <f>IF(H$28=0,"",$F46+$G46)</f>
        <v/>
      </c>
      <c r="F46" s="9" t="str">
        <f>IF(H$28=0,"",SUM(H$3:H$5))</f>
        <v/>
      </c>
      <c r="G46" s="8" t="str">
        <f>IF(H$28=0,"",SUM(H$26:H$27))</f>
        <v/>
      </c>
    </row>
    <row r="47" spans="2:26" x14ac:dyDescent="0.2">
      <c r="B47" s="7"/>
      <c r="C47" s="7"/>
      <c r="D47" s="10" t="str">
        <f>IF(I28=0,"",SUM(I6:I25)/I28)</f>
        <v/>
      </c>
      <c r="E47" s="9" t="str">
        <f>IF(I$28=0,"",$F47+$G47)</f>
        <v/>
      </c>
      <c r="F47" s="9" t="str">
        <f>IF(I$28=0,"",SUM(I$3:I$5))</f>
        <v/>
      </c>
      <c r="G47" s="8" t="str">
        <f>IF(I$28=0,"",SUM(I$26:I$27))</f>
        <v/>
      </c>
      <c r="Z47" s="2"/>
    </row>
    <row r="48" spans="2:26" x14ac:dyDescent="0.2">
      <c r="B48" s="7"/>
      <c r="C48" s="7"/>
      <c r="D48" s="10" t="str">
        <f>IF(J28=0,"",SUM(J6:J25)/J28)</f>
        <v/>
      </c>
      <c r="E48" s="9" t="str">
        <f>IF(J$28=0,"",$F48+$G48)</f>
        <v/>
      </c>
      <c r="F48" s="9" t="str">
        <f>IF(J$28=0,"",SUM(J$3:J$5))</f>
        <v/>
      </c>
      <c r="G48" s="8" t="str">
        <f>IF(J$28=0,"",SUM(J$26:J$27))</f>
        <v/>
      </c>
    </row>
    <row r="49" spans="2:7" x14ac:dyDescent="0.2">
      <c r="B49" s="7"/>
      <c r="C49" s="7"/>
      <c r="D49" s="10" t="str">
        <f>IF(K28=0,"",SUM(K6:K25)/K28)</f>
        <v/>
      </c>
      <c r="E49" s="9" t="str">
        <f>IF(K$28=0,"",$F49+$G49)</f>
        <v/>
      </c>
      <c r="F49" s="9" t="str">
        <f>IF(K$28=0,"",SUM(K$3:K$5))</f>
        <v/>
      </c>
      <c r="G49" s="8" t="str">
        <f>IF(K$28=0,"",SUM(K$26:K$27))</f>
        <v/>
      </c>
    </row>
    <row r="50" spans="2:7" x14ac:dyDescent="0.2">
      <c r="B50" s="7"/>
      <c r="C50" s="7"/>
      <c r="D50" s="10" t="str">
        <f>IF(L28=0,"",SUM(L6:L25)/L28)</f>
        <v/>
      </c>
      <c r="E50" s="9" t="str">
        <f>IF(L$28=0,"",$F50+$G50)</f>
        <v/>
      </c>
      <c r="F50" s="9" t="str">
        <f>IF(L$28=0,"",SUM(L$3:L$5))</f>
        <v/>
      </c>
      <c r="G50" s="8" t="str">
        <f>IF(L$28=0,"",SUM(L$26:L$27))</f>
        <v/>
      </c>
    </row>
    <row r="51" spans="2:7" x14ac:dyDescent="0.2">
      <c r="B51" s="7"/>
      <c r="C51" s="7"/>
      <c r="D51" s="10" t="str">
        <f>IF(M28=0,"",SUM(M6:M25)/M28)</f>
        <v/>
      </c>
      <c r="E51" s="9" t="str">
        <f>IF(M$28=0,"",$F51+$G51)</f>
        <v/>
      </c>
      <c r="F51" s="9" t="str">
        <f>IF(M$28=0,"",SUM(M$3:M$5))</f>
        <v/>
      </c>
      <c r="G51" s="8" t="str">
        <f>IF(M$28=0,"",SUM(M$26:M$27))</f>
        <v/>
      </c>
    </row>
    <row r="52" spans="2:7" x14ac:dyDescent="0.2">
      <c r="B52" s="7"/>
      <c r="C52" s="7"/>
    </row>
    <row r="53" spans="2:7" x14ac:dyDescent="0.2">
      <c r="B53" s="5" t="s">
        <v>3</v>
      </c>
      <c r="C53" s="6">
        <f>[1]Data!BL405</f>
        <v>0</v>
      </c>
      <c r="D53" s="3"/>
      <c r="E53" s="3"/>
      <c r="F53" s="3"/>
    </row>
    <row r="54" spans="2:7" x14ac:dyDescent="0.2">
      <c r="B54" s="5" t="s">
        <v>2</v>
      </c>
      <c r="C54" s="4">
        <f>[1]Data!BL403</f>
        <v>0</v>
      </c>
      <c r="D54" s="3"/>
      <c r="E54" s="3"/>
      <c r="F54" s="3"/>
    </row>
    <row r="55" spans="2:7" x14ac:dyDescent="0.2">
      <c r="B55" s="5" t="s">
        <v>1</v>
      </c>
      <c r="C55" s="4">
        <f>[1]Data!BL406</f>
        <v>0</v>
      </c>
      <c r="D55" s="3"/>
      <c r="E55" s="3"/>
      <c r="F55" s="3"/>
    </row>
    <row r="56" spans="2:7" x14ac:dyDescent="0.2">
      <c r="B56" s="5" t="s">
        <v>0</v>
      </c>
      <c r="C56" s="4">
        <f>[1]Data!BL407</f>
        <v>0</v>
      </c>
      <c r="D56" s="3"/>
      <c r="E56" s="3"/>
      <c r="F56" s="3"/>
    </row>
    <row r="57" spans="2:7" x14ac:dyDescent="0.2">
      <c r="C57" s="2"/>
    </row>
    <row r="58" spans="2:7" x14ac:dyDescent="0.2">
      <c r="C58" s="2"/>
    </row>
    <row r="59" spans="2:7" x14ac:dyDescent="0.2">
      <c r="C59" s="2"/>
    </row>
    <row r="65" s="1" customFormat="1" ht="13.2" customHeight="1" x14ac:dyDescent="0.2"/>
  </sheetData>
  <sheetProtection insertColumns="0" insertRows="0" insertHyperlinks="0" deleteColumns="0" deleteRows="0" selectLockedCells="1" sort="0" autoFilter="0" pivotTables="0" selectUnlockedCells="1"/>
  <dataConsolidate link="1"/>
  <mergeCells count="2">
    <mergeCell ref="C28:D28"/>
    <mergeCell ref="C29:D2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OptionButton5">
          <controlPr defaultSize="0" autoFill="0" autoLine="0" autoPict="0" r:id="rId5">
            <anchor moveWithCells="1">
              <from>
                <xdr:col>1</xdr:col>
                <xdr:colOff>22860</xdr:colOff>
                <xdr:row>39</xdr:row>
                <xdr:rowOff>15240</xdr:rowOff>
              </from>
              <to>
                <xdr:col>2</xdr:col>
                <xdr:colOff>441960</xdr:colOff>
                <xdr:row>40</xdr:row>
                <xdr:rowOff>7620</xdr:rowOff>
              </to>
            </anchor>
          </controlPr>
        </control>
      </mc:Choice>
      <mc:Fallback>
        <control shapeId="1040" r:id="rId4" name="OptionButton5"/>
      </mc:Fallback>
    </mc:AlternateContent>
    <mc:AlternateContent xmlns:mc="http://schemas.openxmlformats.org/markup-compatibility/2006">
      <mc:Choice Requires="x14">
        <control shapeId="1039" r:id="rId6" name="OptionButton4">
          <controlPr defaultSize="0" autoFill="0" autoLine="0" r:id="rId7">
            <anchor moveWithCells="1">
              <from>
                <xdr:col>1</xdr:col>
                <xdr:colOff>22860</xdr:colOff>
                <xdr:row>38</xdr:row>
                <xdr:rowOff>22860</xdr:rowOff>
              </from>
              <to>
                <xdr:col>2</xdr:col>
                <xdr:colOff>434340</xdr:colOff>
                <xdr:row>39</xdr:row>
                <xdr:rowOff>7620</xdr:rowOff>
              </to>
            </anchor>
          </controlPr>
        </control>
      </mc:Choice>
      <mc:Fallback>
        <control shapeId="1039" r:id="rId6" name="OptionButton4"/>
      </mc:Fallback>
    </mc:AlternateContent>
    <mc:AlternateContent xmlns:mc="http://schemas.openxmlformats.org/markup-compatibility/2006">
      <mc:Choice Requires="x14">
        <control shapeId="1038" r:id="rId8" name="CheckBox9">
          <controlPr defaultSize="0" autoFill="0" autoLine="0" r:id="rId9">
            <anchor moveWithCells="1">
              <from>
                <xdr:col>1</xdr:col>
                <xdr:colOff>22860</xdr:colOff>
                <xdr:row>50</xdr:row>
                <xdr:rowOff>22860</xdr:rowOff>
              </from>
              <to>
                <xdr:col>2</xdr:col>
                <xdr:colOff>434340</xdr:colOff>
                <xdr:row>51</xdr:row>
                <xdr:rowOff>7620</xdr:rowOff>
              </to>
            </anchor>
          </controlPr>
        </control>
      </mc:Choice>
      <mc:Fallback>
        <control shapeId="1038" r:id="rId8" name="CheckBox9"/>
      </mc:Fallback>
    </mc:AlternateContent>
    <mc:AlternateContent xmlns:mc="http://schemas.openxmlformats.org/markup-compatibility/2006">
      <mc:Choice Requires="x14">
        <control shapeId="1037" r:id="rId10" name="CheckBox8">
          <controlPr defaultSize="0" autoFill="0" autoLine="0" r:id="rId11">
            <anchor moveWithCells="1">
              <from>
                <xdr:col>1</xdr:col>
                <xdr:colOff>22860</xdr:colOff>
                <xdr:row>49</xdr:row>
                <xdr:rowOff>22860</xdr:rowOff>
              </from>
              <to>
                <xdr:col>2</xdr:col>
                <xdr:colOff>434340</xdr:colOff>
                <xdr:row>50</xdr:row>
                <xdr:rowOff>7620</xdr:rowOff>
              </to>
            </anchor>
          </controlPr>
        </control>
      </mc:Choice>
      <mc:Fallback>
        <control shapeId="1037" r:id="rId10" name="CheckBox8"/>
      </mc:Fallback>
    </mc:AlternateContent>
    <mc:AlternateContent xmlns:mc="http://schemas.openxmlformats.org/markup-compatibility/2006">
      <mc:Choice Requires="x14">
        <control shapeId="1036" r:id="rId12" name="CheckBox7">
          <controlPr defaultSize="0" autoFill="0" autoLine="0" r:id="rId13">
            <anchor moveWithCells="1">
              <from>
                <xdr:col>1</xdr:col>
                <xdr:colOff>22860</xdr:colOff>
                <xdr:row>48</xdr:row>
                <xdr:rowOff>22860</xdr:rowOff>
              </from>
              <to>
                <xdr:col>2</xdr:col>
                <xdr:colOff>434340</xdr:colOff>
                <xdr:row>49</xdr:row>
                <xdr:rowOff>0</xdr:rowOff>
              </to>
            </anchor>
          </controlPr>
        </control>
      </mc:Choice>
      <mc:Fallback>
        <control shapeId="1036" r:id="rId12" name="CheckBox7"/>
      </mc:Fallback>
    </mc:AlternateContent>
    <mc:AlternateContent xmlns:mc="http://schemas.openxmlformats.org/markup-compatibility/2006">
      <mc:Choice Requires="x14">
        <control shapeId="1035" r:id="rId14" name="CheckBox6">
          <controlPr defaultSize="0" autoFill="0" autoLine="0" r:id="rId15">
            <anchor moveWithCells="1">
              <from>
                <xdr:col>1</xdr:col>
                <xdr:colOff>22860</xdr:colOff>
                <xdr:row>47</xdr:row>
                <xdr:rowOff>22860</xdr:rowOff>
              </from>
              <to>
                <xdr:col>2</xdr:col>
                <xdr:colOff>434340</xdr:colOff>
                <xdr:row>48</xdr:row>
                <xdr:rowOff>7620</xdr:rowOff>
              </to>
            </anchor>
          </controlPr>
        </control>
      </mc:Choice>
      <mc:Fallback>
        <control shapeId="1035" r:id="rId14" name="CheckBox6"/>
      </mc:Fallback>
    </mc:AlternateContent>
    <mc:AlternateContent xmlns:mc="http://schemas.openxmlformats.org/markup-compatibility/2006">
      <mc:Choice Requires="x14">
        <control shapeId="1034" r:id="rId16" name="CheckBox5">
          <controlPr defaultSize="0" autoFill="0" autoLine="0" r:id="rId17">
            <anchor moveWithCells="1">
              <from>
                <xdr:col>1</xdr:col>
                <xdr:colOff>22860</xdr:colOff>
                <xdr:row>46</xdr:row>
                <xdr:rowOff>7620</xdr:rowOff>
              </from>
              <to>
                <xdr:col>2</xdr:col>
                <xdr:colOff>434340</xdr:colOff>
                <xdr:row>46</xdr:row>
                <xdr:rowOff>121920</xdr:rowOff>
              </to>
            </anchor>
          </controlPr>
        </control>
      </mc:Choice>
      <mc:Fallback>
        <control shapeId="1034" r:id="rId16" name="CheckBox5"/>
      </mc:Fallback>
    </mc:AlternateContent>
    <mc:AlternateContent xmlns:mc="http://schemas.openxmlformats.org/markup-compatibility/2006">
      <mc:Choice Requires="x14">
        <control shapeId="1033" r:id="rId18" name="CheckBox4">
          <controlPr defaultSize="0" autoFill="0" autoLine="0" r:id="rId19">
            <anchor moveWithCells="1">
              <from>
                <xdr:col>1</xdr:col>
                <xdr:colOff>22860</xdr:colOff>
                <xdr:row>45</xdr:row>
                <xdr:rowOff>7620</xdr:rowOff>
              </from>
              <to>
                <xdr:col>2</xdr:col>
                <xdr:colOff>434340</xdr:colOff>
                <xdr:row>45</xdr:row>
                <xdr:rowOff>121920</xdr:rowOff>
              </to>
            </anchor>
          </controlPr>
        </control>
      </mc:Choice>
      <mc:Fallback>
        <control shapeId="1033" r:id="rId18" name="CheckBox4"/>
      </mc:Fallback>
    </mc:AlternateContent>
    <mc:AlternateContent xmlns:mc="http://schemas.openxmlformats.org/markup-compatibility/2006">
      <mc:Choice Requires="x14">
        <control shapeId="1032" r:id="rId20" name="CheckBox3">
          <controlPr defaultSize="0" autoFill="0" autoLine="0" r:id="rId21">
            <anchor moveWithCells="1">
              <from>
                <xdr:col>1</xdr:col>
                <xdr:colOff>22860</xdr:colOff>
                <xdr:row>44</xdr:row>
                <xdr:rowOff>22860</xdr:rowOff>
              </from>
              <to>
                <xdr:col>2</xdr:col>
                <xdr:colOff>434340</xdr:colOff>
                <xdr:row>45</xdr:row>
                <xdr:rowOff>7620</xdr:rowOff>
              </to>
            </anchor>
          </controlPr>
        </control>
      </mc:Choice>
      <mc:Fallback>
        <control shapeId="1032" r:id="rId20" name="CheckBox3"/>
      </mc:Fallback>
    </mc:AlternateContent>
    <mc:AlternateContent xmlns:mc="http://schemas.openxmlformats.org/markup-compatibility/2006">
      <mc:Choice Requires="x14">
        <control shapeId="1031" r:id="rId22" name="CheckBox2">
          <controlPr defaultSize="0" autoFill="0" autoLine="0" r:id="rId23">
            <anchor moveWithCells="1">
              <from>
                <xdr:col>1</xdr:col>
                <xdr:colOff>22860</xdr:colOff>
                <xdr:row>43</xdr:row>
                <xdr:rowOff>7620</xdr:rowOff>
              </from>
              <to>
                <xdr:col>2</xdr:col>
                <xdr:colOff>434340</xdr:colOff>
                <xdr:row>43</xdr:row>
                <xdr:rowOff>121920</xdr:rowOff>
              </to>
            </anchor>
          </controlPr>
        </control>
      </mc:Choice>
      <mc:Fallback>
        <control shapeId="1031" r:id="rId22" name="CheckBox2"/>
      </mc:Fallback>
    </mc:AlternateContent>
    <mc:AlternateContent xmlns:mc="http://schemas.openxmlformats.org/markup-compatibility/2006">
      <mc:Choice Requires="x14">
        <control shapeId="1030" r:id="rId24" name="CheckBox1">
          <controlPr defaultSize="0" autoFill="0" autoLine="0" r:id="rId25">
            <anchor moveWithCells="1">
              <from>
                <xdr:col>1</xdr:col>
                <xdr:colOff>22860</xdr:colOff>
                <xdr:row>42</xdr:row>
                <xdr:rowOff>7620</xdr:rowOff>
              </from>
              <to>
                <xdr:col>2</xdr:col>
                <xdr:colOff>434340</xdr:colOff>
                <xdr:row>42</xdr:row>
                <xdr:rowOff>121920</xdr:rowOff>
              </to>
            </anchor>
          </controlPr>
        </control>
      </mc:Choice>
      <mc:Fallback>
        <control shapeId="1030" r:id="rId24" name="CheckBox1"/>
      </mc:Fallback>
    </mc:AlternateContent>
    <mc:AlternateContent xmlns:mc="http://schemas.openxmlformats.org/markup-compatibility/2006">
      <mc:Choice Requires="x14">
        <control shapeId="1029" r:id="rId26" name="OptionButton3">
          <controlPr defaultSize="0" autoFill="0" autoLine="0" r:id="rId27">
            <anchor moveWithCells="1">
              <from>
                <xdr:col>1</xdr:col>
                <xdr:colOff>22860</xdr:colOff>
                <xdr:row>37</xdr:row>
                <xdr:rowOff>22860</xdr:rowOff>
              </from>
              <to>
                <xdr:col>2</xdr:col>
                <xdr:colOff>434340</xdr:colOff>
                <xdr:row>38</xdr:row>
                <xdr:rowOff>7620</xdr:rowOff>
              </to>
            </anchor>
          </controlPr>
        </control>
      </mc:Choice>
      <mc:Fallback>
        <control shapeId="1029" r:id="rId26" name="OptionButton3"/>
      </mc:Fallback>
    </mc:AlternateContent>
    <mc:AlternateContent xmlns:mc="http://schemas.openxmlformats.org/markup-compatibility/2006">
      <mc:Choice Requires="x14">
        <control shapeId="1028" r:id="rId28" name="OptionButton2">
          <controlPr defaultSize="0" autoFill="0" autoLine="0" r:id="rId29">
            <anchor moveWithCells="1">
              <from>
                <xdr:col>1</xdr:col>
                <xdr:colOff>22860</xdr:colOff>
                <xdr:row>36</xdr:row>
                <xdr:rowOff>22860</xdr:rowOff>
              </from>
              <to>
                <xdr:col>2</xdr:col>
                <xdr:colOff>434340</xdr:colOff>
                <xdr:row>37</xdr:row>
                <xdr:rowOff>7620</xdr:rowOff>
              </to>
            </anchor>
          </controlPr>
        </control>
      </mc:Choice>
      <mc:Fallback>
        <control shapeId="1028" r:id="rId28" name="OptionButton2"/>
      </mc:Fallback>
    </mc:AlternateContent>
    <mc:AlternateContent xmlns:mc="http://schemas.openxmlformats.org/markup-compatibility/2006">
      <mc:Choice Requires="x14">
        <control shapeId="1027" r:id="rId30" name="OptionButton1">
          <controlPr defaultSize="0" autoFill="0" autoLine="0" r:id="rId31">
            <anchor moveWithCells="1">
              <from>
                <xdr:col>1</xdr:col>
                <xdr:colOff>22860</xdr:colOff>
                <xdr:row>35</xdr:row>
                <xdr:rowOff>0</xdr:rowOff>
              </from>
              <to>
                <xdr:col>2</xdr:col>
                <xdr:colOff>434340</xdr:colOff>
                <xdr:row>35</xdr:row>
                <xdr:rowOff>114300</xdr:rowOff>
              </to>
            </anchor>
          </controlPr>
        </control>
      </mc:Choice>
      <mc:Fallback>
        <control shapeId="1027" r:id="rId30" name="OptionButton1"/>
      </mc:Fallback>
    </mc:AlternateContent>
    <mc:AlternateContent xmlns:mc="http://schemas.openxmlformats.org/markup-compatibility/2006">
      <mc:Choice Requires="x14">
        <control shapeId="1025" r:id="rId32" name="ComboBox1">
          <controlPr defaultSize="0" autoFill="0" autoLine="0" r:id="rId33">
            <anchor moveWithCells="1">
              <from>
                <xdr:col>7</xdr:col>
                <xdr:colOff>60960</xdr:colOff>
                <xdr:row>34</xdr:row>
                <xdr:rowOff>45720</xdr:rowOff>
              </from>
              <to>
                <xdr:col>11</xdr:col>
                <xdr:colOff>434340</xdr:colOff>
                <xdr:row>35</xdr:row>
                <xdr:rowOff>106680</xdr:rowOff>
              </to>
            </anchor>
          </controlPr>
        </control>
      </mc:Choice>
      <mc:Fallback>
        <control shapeId="1025" r:id="rId32" name="ComboBox1"/>
      </mc:Fallback>
    </mc:AlternateContent>
    <mc:AlternateContent xmlns:mc="http://schemas.openxmlformats.org/markup-compatibility/2006">
      <mc:Choice Requires="x14">
        <control shapeId="1026" r:id="rId34" name="按钮 1">
          <controlPr defaultSize="0" print="0" autoFill="0" autoPict="0" macro="[0]!On_ImportButtonClick">
            <anchor moveWithCells="1" sizeWithCells="1">
              <from>
                <xdr:col>13</xdr:col>
                <xdr:colOff>7620</xdr:colOff>
                <xdr:row>34</xdr:row>
                <xdr:rowOff>38100</xdr:rowOff>
              </from>
              <to>
                <xdr:col>15</xdr:col>
                <xdr:colOff>60960</xdr:colOff>
                <xdr:row>35</xdr:row>
                <xdr:rowOff>76200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Exp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立群 祝</dc:creator>
  <cp:lastModifiedBy>立群 祝</cp:lastModifiedBy>
  <dcterms:created xsi:type="dcterms:W3CDTF">2026-09-15T13:33:15Z</dcterms:created>
  <dcterms:modified xsi:type="dcterms:W3CDTF">2026-09-15T13:34:07Z</dcterms:modified>
</cp:coreProperties>
</file>